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B7FE6334-C1A2-E50D-BD3D-5F4D41BBC2E3}"/>
  <workbookPr codeName="ThisWorkbook"/>
  <bookViews>
    <workbookView xWindow="-15" yWindow="0" windowWidth="11865" windowHeight="1335" tabRatio="904" activeTab="1"/>
  </bookViews>
  <sheets>
    <sheet name="Inicio" sheetId="35" r:id="rId1"/>
    <sheet name="Cotizador" sheetId="39" r:id="rId2"/>
    <sheet name="Primas" sheetId="42" state="hidden" r:id="rId3"/>
    <sheet name="Tasas" sheetId="43" state="veryHidden" r:id="rId4"/>
  </sheets>
  <externalReferences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12n">#REF!</definedName>
    <definedName name="_Dir1">#REF!</definedName>
    <definedName name="_r">[1]PlusPU!$B$3</definedName>
    <definedName name="_RT1">#REF!</definedName>
    <definedName name="_Rx1">#REF!</definedName>
    <definedName name="_ST1">#REF!</definedName>
    <definedName name="_Sx1">#REF!</definedName>
    <definedName name="a_Pror">#REF!</definedName>
    <definedName name="ActCx">#REF!</definedName>
    <definedName name="Alt">#REF!</definedName>
    <definedName name="AltMes">#REF!</definedName>
    <definedName name="AltMeses">#REF!</definedName>
    <definedName name="Anexo2_ITP">#REF!</definedName>
    <definedName name="Anexo4_IA">#REF!</definedName>
    <definedName name="Anexo5_GC">#REF!</definedName>
    <definedName name="Anexo6_EAC">#REF!</definedName>
    <definedName name="AP" localSheetId="1">#REF!</definedName>
    <definedName name="AP">#REF!</definedName>
    <definedName name="_xlnm.Print_Area" localSheetId="1">Cotizador!$A$1:$AD$66</definedName>
    <definedName name="BasTécUsada">#REF!</definedName>
    <definedName name="BD_Prorrogados">#REF!</definedName>
    <definedName name="BD_Vigentes">#REF!</definedName>
    <definedName name="Beta">#REF!</definedName>
    <definedName name="Canc?">#REF!</definedName>
    <definedName name="CeldaParaPegar">#REF!</definedName>
    <definedName name="CNHR">#REF!</definedName>
    <definedName name="CoC" localSheetId="1">#REF!</definedName>
    <definedName name="CoC" localSheetId="0">#REF!</definedName>
    <definedName name="CoC">#REF!</definedName>
    <definedName name="ColCed">#REF!</definedName>
    <definedName name="ColDIP">#REF!</definedName>
    <definedName name="ColDMA">#REF!</definedName>
    <definedName name="ColEdadA">#REF!</definedName>
    <definedName name="ColEdadI">#REF!</definedName>
    <definedName name="ColEdadI_Pro">#REF!</definedName>
    <definedName name="ColEG">#REF!</definedName>
    <definedName name="ColEP">#REF!</definedName>
    <definedName name="ColFecExp">#REF!</definedName>
    <definedName name="ColFecNac">#REF!</definedName>
    <definedName name="ColIAMA">#REF!</definedName>
    <definedName name="ColIP">#REF!</definedName>
    <definedName name="ColMA">#REF!</definedName>
    <definedName name="ColNombre">#REF!</definedName>
    <definedName name="ColPart">#REF!</definedName>
    <definedName name="ColPlan">#REF!</definedName>
    <definedName name="ColPlan_Pro">#REF!</definedName>
    <definedName name="ColPol">#REF!</definedName>
    <definedName name="ColPro">#REF!</definedName>
    <definedName name="ColSexo">#REF!</definedName>
    <definedName name="ColSexo_Pro">#REF!</definedName>
    <definedName name="ColVAA">#REF!</definedName>
    <definedName name="ColVAI">#REF!</definedName>
    <definedName name="ColVAI_Pro">#REF!</definedName>
    <definedName name="com">[2]Tablas!$AB$8</definedName>
    <definedName name="Control" localSheetId="1">#REF!</definedName>
    <definedName name="Control">#REF!</definedName>
    <definedName name="Control1" localSheetId="1">#REF!</definedName>
    <definedName name="Control1">#REF!</definedName>
    <definedName name="Control3">#REF!</definedName>
    <definedName name="Control4" localSheetId="1">#REF!</definedName>
    <definedName name="Control4">#REF!</definedName>
    <definedName name="CorpTax">#REF!</definedName>
    <definedName name="CosAdquisición">#REF!</definedName>
    <definedName name="crec" localSheetId="1">[2]Cotizador!$E$6</definedName>
    <definedName name="crec" localSheetId="0">[2]Cotizador!$E$6</definedName>
    <definedName name="CReC">#REF!</definedName>
    <definedName name="CReqC" localSheetId="1">#REF!</definedName>
    <definedName name="CReqC" localSheetId="0">#REF!</definedName>
    <definedName name="CReqC">[3]Hipotesis!$C$45</definedName>
    <definedName name="d_Pror">#REF!</definedName>
    <definedName name="Dead?">#REF!</definedName>
    <definedName name="Delta">#REF!</definedName>
    <definedName name="Días">#REF!</definedName>
    <definedName name="Dif">#REF!</definedName>
    <definedName name="Diferencia">#REF!</definedName>
    <definedName name="Dir">#REF!</definedName>
    <definedName name="Dir_Pro">#REF!</definedName>
    <definedName name="Dir1_Pro">#REF!</definedName>
    <definedName name="Dx">#REF!</definedName>
    <definedName name="E">#REF!</definedName>
    <definedName name="EC" localSheetId="1">#REF!</definedName>
    <definedName name="EC">#REF!</definedName>
    <definedName name="Eda">#REF!</definedName>
    <definedName name="Edad" localSheetId="1">[2]Cotizador!$E$5</definedName>
    <definedName name="Edad" localSheetId="0">[2]Cotizador!$E$5</definedName>
    <definedName name="Edad">[3]Hipotesis!$C$5</definedName>
    <definedName name="EdadMensual">#REF!</definedName>
    <definedName name="EdaDote">#REF!</definedName>
    <definedName name="EdaIni">#REF!</definedName>
    <definedName name="EdaIni_Pro">#REF!</definedName>
    <definedName name="EdaInicial">#REF!</definedName>
    <definedName name="EdaInicialReal">#REF!</definedName>
    <definedName name="EdaIniRea">#REF!</definedName>
    <definedName name="EL" localSheetId="1">#REF!</definedName>
    <definedName name="EL">#REF!</definedName>
    <definedName name="EM" localSheetId="1">#REF!</definedName>
    <definedName name="EM">#REF!</definedName>
    <definedName name="Estado">#REF!</definedName>
    <definedName name="FacFraccionamiento">#REF!</definedName>
    <definedName name="factor_u">#REF!</definedName>
    <definedName name="FdPro">#REF!</definedName>
    <definedName name="FecCor">#REF!</definedName>
    <definedName name="FecCorte">#REF!</definedName>
    <definedName name="FecCorte_Pro">#REF!</definedName>
    <definedName name="FecExp">#REF!</definedName>
    <definedName name="FecExpedición">#REF!</definedName>
    <definedName name="FecIni">#REF!</definedName>
    <definedName name="FecMigracion">'[4]Datos de Entrada'!$D$7</definedName>
    <definedName name="FecNac">#REF!</definedName>
    <definedName name="FecNacimiento">#REF!</definedName>
    <definedName name="ForPag">#REF!</definedName>
    <definedName name="ForPago">#REF!</definedName>
    <definedName name="FPU_pctRes">#REF!</definedName>
    <definedName name="g" localSheetId="1">[2]Tablas!$AB$9</definedName>
    <definedName name="g" localSheetId="0">[2]Tablas!$AB$9</definedName>
    <definedName name="g">#REF!</definedName>
    <definedName name="gadm" localSheetId="1">#REF!</definedName>
    <definedName name="gadm" localSheetId="0">#REF!</definedName>
    <definedName name="gadm">#REF!</definedName>
    <definedName name="Gama" localSheetId="1">#REF!</definedName>
    <definedName name="Gama">#REF!</definedName>
    <definedName name="ge" localSheetId="1">#REF!</definedName>
    <definedName name="ge" localSheetId="0">#REF!</definedName>
    <definedName name="ge">#REF!</definedName>
    <definedName name="gi">#REF!</definedName>
    <definedName name="gr" localSheetId="1">#REF!</definedName>
    <definedName name="gr" localSheetId="0">#REF!</definedName>
    <definedName name="gr">#REF!</definedName>
    <definedName name="gs">#REF!</definedName>
    <definedName name="h">#REF!</definedName>
    <definedName name="HipPersistencia">#REF!</definedName>
    <definedName name="HIV" localSheetId="1">#REF!</definedName>
    <definedName name="HIV">#REF!</definedName>
    <definedName name="Hoja">#REF!</definedName>
    <definedName name="Hoja_Pro">#REF!</definedName>
    <definedName name="i">#REF!</definedName>
    <definedName name="IC" localSheetId="1">#REF!</definedName>
    <definedName name="IC">#REF!</definedName>
    <definedName name="ica" localSheetId="1">#REF!</definedName>
    <definedName name="ica" localSheetId="0">#REF!</definedName>
    <definedName name="ica">#REF!</definedName>
    <definedName name="im">#REF!</definedName>
    <definedName name="IncrementoV">#REF!</definedName>
    <definedName name="Indice" localSheetId="1">#REF!</definedName>
    <definedName name="Indice">#REF!</definedName>
    <definedName name="Indice_Pro">#REF!</definedName>
    <definedName name="inf" localSheetId="1">#REF!</definedName>
    <definedName name="inf" localSheetId="0">#REF!</definedName>
    <definedName name="inf">#REF!</definedName>
    <definedName name="InForce?">#REF!</definedName>
    <definedName name="Interpolación" localSheetId="1">#REF!</definedName>
    <definedName name="Interpolación">#REF!</definedName>
    <definedName name="LapseAssNew">#REF!</definedName>
    <definedName name="LapseAssOld">#REF!</definedName>
    <definedName name="m">#REF!</definedName>
    <definedName name="MorAditiva" localSheetId="1">[5]Hipótesis!$C$11</definedName>
    <definedName name="MorAditiva" localSheetId="0">[5]Hipótesis!$C$11</definedName>
    <definedName name="MorAditiva">#REF!</definedName>
    <definedName name="MorMultiplicativa" localSheetId="1">[5]Hipótesis!$C$8</definedName>
    <definedName name="MorMultiplicativa" localSheetId="0">[5]Hipótesis!$C$8</definedName>
    <definedName name="MorMultiplicativa">#REF!</definedName>
    <definedName name="MortAssNew">#REF!</definedName>
    <definedName name="MortAssOld">#REF!</definedName>
    <definedName name="Mx">#REF!</definedName>
    <definedName name="Mxn">#REF!</definedName>
    <definedName name="n">#REF!</definedName>
    <definedName name="n_Pro">#REF!</definedName>
    <definedName name="n_Pro1">#REF!</definedName>
    <definedName name="näx">#REF!</definedName>
    <definedName name="Nx">#REF!</definedName>
    <definedName name="Nxn">#REF!</definedName>
    <definedName name="Nxp">#REF!</definedName>
    <definedName name="O_G">#REF!</definedName>
    <definedName name="p">#REF!</definedName>
    <definedName name="p_Pro">#REF!</definedName>
    <definedName name="Paquete">#REF!</definedName>
    <definedName name="päx">#REF!</definedName>
    <definedName name="PCP">#REF!</definedName>
    <definedName name="PCPPF">#REF!</definedName>
    <definedName name="PCU">#REF!</definedName>
    <definedName name="Pla">#REF!</definedName>
    <definedName name="Pla_Pro">#REF!</definedName>
    <definedName name="Plan" localSheetId="1">#REF!</definedName>
    <definedName name="Plan">#REF!</definedName>
    <definedName name="Planes">#REF!</definedName>
    <definedName name="Póliza" localSheetId="1">#REF!</definedName>
    <definedName name="Póliza">#REF!</definedName>
    <definedName name="PPU">#REF!</definedName>
    <definedName name="PrimaC" localSheetId="1">#REF!</definedName>
    <definedName name="PrimaC">#REF!</definedName>
    <definedName name="Proyección">#REF!</definedName>
    <definedName name="Proyección1">#REF!</definedName>
    <definedName name="Proyección2">#REF!</definedName>
    <definedName name="RangoBásico">#REF!</definedName>
    <definedName name="RangoEdadCare">#REF!</definedName>
    <definedName name="RangoEdadPlanes">#REF!</definedName>
    <definedName name="RealLapse">#REF!</definedName>
    <definedName name="RealMort">#REF!</definedName>
    <definedName name="RealSP">#REF!</definedName>
    <definedName name="ReC">#REF!</definedName>
    <definedName name="Rescate">#REF!</definedName>
    <definedName name="Rescición">#REF!</definedName>
    <definedName name="Retención">#REF!</definedName>
    <definedName name="Sal_AcqExp">#REF!</definedName>
    <definedName name="Sal_ComPriced">#REF!</definedName>
    <definedName name="Sal_ComReal">#REF!</definedName>
    <definedName name="Sal_ExpPriced">#REF!</definedName>
    <definedName name="Sal_iT">#REF!</definedName>
    <definedName name="Sal_Penalties">#REF!</definedName>
    <definedName name="Sal_PolIF">#REF!</definedName>
    <definedName name="Sal_PremCeded">#REF!</definedName>
    <definedName name="Sal_Primas">#REF!</definedName>
    <definedName name="Sal_Rescates">#REF!</definedName>
    <definedName name="Sal_RM">#REF!</definedName>
    <definedName name="Sal_SinCeded">#REF!</definedName>
    <definedName name="Sal_Siniestros">#REF!</definedName>
    <definedName name="Sal_VA">#REF!</definedName>
    <definedName name="Sex">#REF!</definedName>
    <definedName name="Sex_Pro">#REF!</definedName>
    <definedName name="Sexo" localSheetId="1">[2]Cotizador!$E$4</definedName>
    <definedName name="Sexo" localSheetId="0">[2]Cotizador!$E$4</definedName>
    <definedName name="Sexo">[3]Hipotesis!$C$4</definedName>
    <definedName name="Solv">#REF!</definedName>
    <definedName name="SP?">#REF!</definedName>
    <definedName name="swPrima">#REF!</definedName>
    <definedName name="Sxp">#REF!</definedName>
    <definedName name="T">#REF!</definedName>
    <definedName name="TarifaPlanes" localSheetId="1">#REF!</definedName>
    <definedName name="TarifaPlanes">#REF!</definedName>
    <definedName name="tbl_ActCx">#REF!</definedName>
    <definedName name="tbl_Alt">#REF!</definedName>
    <definedName name="tbl_Alt1">#REF!</definedName>
    <definedName name="tbl_AmparoBásico">#REF!</definedName>
    <definedName name="tbl_Beta">#REF!</definedName>
    <definedName name="tbl_Delta">#REF!</definedName>
    <definedName name="tbl_Desc">#REF!</definedName>
    <definedName name="tbl_Dx">#REF!</definedName>
    <definedName name="tbl_E">#REF!</definedName>
    <definedName name="tbl_Edad">#REF!</definedName>
    <definedName name="tbl_EG_lx">#REF!</definedName>
    <definedName name="tbl_EG_ly">#REF!</definedName>
    <definedName name="tbl_FacFraMen">#REF!</definedName>
    <definedName name="tbl_FacFraMensual">#REF!</definedName>
    <definedName name="tbl_FacFraSem">#REF!</definedName>
    <definedName name="tbl_FacFraSemestral">#REF!</definedName>
    <definedName name="tbl_FacFraTri">#REF!</definedName>
    <definedName name="tbl_FacFraTrimestral">#REF!</definedName>
    <definedName name="tbl_g">#REF!</definedName>
    <definedName name="tbl_Gama">#REF!</definedName>
    <definedName name="tbl_GasAdmValAse">#REF!</definedName>
    <definedName name="tbl_gH">#REF!</definedName>
    <definedName name="tbl_gM">#REF!</definedName>
    <definedName name="tbl_IAMDA_lx">#REF!</definedName>
    <definedName name="tbl_IAMDA_ly">#REF!</definedName>
    <definedName name="tbl_IntTec">#REF!</definedName>
    <definedName name="tbl_IntTécnico">#REF!</definedName>
    <definedName name="TBL_ITP_LXY">#REF!</definedName>
    <definedName name="tbl_lx">#REF!</definedName>
    <definedName name="tbl_lxLocal">#REF!</definedName>
    <definedName name="tbl_lxMensual">#REF!</definedName>
    <definedName name="tbl_lxUsado">#REF!</definedName>
    <definedName name="tbl_ly">#REF!</definedName>
    <definedName name="tbl_Mx">#REF!</definedName>
    <definedName name="tbl_npxLocMensual">#REF!</definedName>
    <definedName name="tbl_NumPri">#REF!</definedName>
    <definedName name="tbl_NúmPrimas">#REF!</definedName>
    <definedName name="tbl_Nx">#REF!</definedName>
    <definedName name="tbl_Per">#REF!</definedName>
    <definedName name="tbl_Persistencia">#REF!</definedName>
    <definedName name="tbl_Pla">#REF!</definedName>
    <definedName name="tbl_Plan">#REF!</definedName>
    <definedName name="tbl_PriEmitidas">#REF!</definedName>
    <definedName name="tbl_Reaseguro">#REF!</definedName>
    <definedName name="tbl_Rescates">#REF!</definedName>
    <definedName name="tbl_Rx">#REF!</definedName>
    <definedName name="tbl_Sx">#REF!</definedName>
    <definedName name="tbl_T">#REF!</definedName>
    <definedName name="tbl_Tasa">#REF!</definedName>
    <definedName name="tbl_Teta">#REF!</definedName>
    <definedName name="tbl_theta">#REF!</definedName>
    <definedName name="tbl_TN11">[6]TD!$C$3:$D$13</definedName>
    <definedName name="tbl_VAPU">[6]TD!$C$14:$D$22</definedName>
    <definedName name="tbl_VPA1">[6]TD!$C$23:$D$29</definedName>
    <definedName name="tbl_x">#REF!</definedName>
    <definedName name="TDI">#REF!</definedName>
    <definedName name="temporaly">#REF!</definedName>
    <definedName name="Teta">#REF!</definedName>
    <definedName name="TGO" localSheetId="1">#REF!</definedName>
    <definedName name="TGO">#REF!</definedName>
    <definedName name="TGP" localSheetId="1">#REF!</definedName>
    <definedName name="TGP">#REF!</definedName>
    <definedName name="Tipo_Tasa">#REF!</definedName>
    <definedName name="tr">#REF!</definedName>
    <definedName name="u">[2]Tablas!$AB$10</definedName>
    <definedName name="v">#REF!</definedName>
    <definedName name="v_month_w">#REF!</definedName>
    <definedName name="VA_Sald">#REF!</definedName>
    <definedName name="VAAF">#REF!</definedName>
    <definedName name="VAe">[2]Cotizador!$E$8</definedName>
    <definedName name="VAI">#REF!</definedName>
    <definedName name="VAI_Pro">#REF!</definedName>
    <definedName name="VAm" localSheetId="1">[2]Cotizador!$E$7</definedName>
    <definedName name="VAm" localSheetId="0">[2]Cotizador!$E$7</definedName>
    <definedName name="VAm">[3]Hipotesis!$C$7</definedName>
    <definedName name="VAS">#REF!</definedName>
    <definedName name="vm">#REF!</definedName>
    <definedName name="x">#REF!</definedName>
  </definedNames>
  <calcPr calcId="145621"/>
</workbook>
</file>

<file path=xl/calcChain.xml><?xml version="1.0" encoding="utf-8"?>
<calcChain xmlns="http://schemas.openxmlformats.org/spreadsheetml/2006/main">
  <c r="H14" i="35" l="1"/>
  <c r="D32" i="43"/>
  <c r="D31" i="43"/>
  <c r="I15" i="35"/>
  <c r="I16" i="35"/>
  <c r="I17" i="35"/>
  <c r="D9" i="42"/>
  <c r="L19" i="39" l="1"/>
  <c r="L20" i="39"/>
  <c r="L21" i="39"/>
  <c r="F18" i="35" l="1"/>
  <c r="H18" i="35"/>
  <c r="L18" i="39" s="1"/>
  <c r="F29" i="39"/>
  <c r="I14" i="35"/>
  <c r="I18" i="35" l="1"/>
  <c r="F15" i="35"/>
  <c r="F17" i="35"/>
  <c r="F16" i="35"/>
  <c r="I13" i="35"/>
  <c r="C5" i="42"/>
  <c r="B1" i="42"/>
  <c r="C12" i="42"/>
  <c r="C11" i="42"/>
  <c r="C10" i="42"/>
  <c r="B4" i="42"/>
  <c r="B12" i="42"/>
  <c r="B11" i="42"/>
  <c r="B10" i="42"/>
  <c r="D8" i="42"/>
  <c r="D7" i="42"/>
  <c r="D6" i="42"/>
  <c r="D5" i="42"/>
  <c r="D4" i="42" l="1"/>
  <c r="J4" i="42"/>
  <c r="K4" i="42" s="1"/>
  <c r="B2" i="42"/>
  <c r="E5" i="42"/>
  <c r="C4" i="42"/>
  <c r="E4" i="42" l="1"/>
  <c r="N3" i="42"/>
  <c r="B5" i="42"/>
  <c r="B6" i="42"/>
  <c r="B7" i="42"/>
  <c r="B8" i="42"/>
  <c r="B9" i="42"/>
  <c r="B21" i="42"/>
  <c r="N4" i="42" l="1"/>
  <c r="N5" i="42" s="1"/>
  <c r="U3" i="42"/>
  <c r="AD3" i="42" s="1"/>
  <c r="AQ3" i="42" s="1"/>
  <c r="W3" i="42"/>
  <c r="AF3" i="42" s="1"/>
  <c r="AS3" i="42" s="1"/>
  <c r="P3" i="42"/>
  <c r="Y3" i="42" s="1"/>
  <c r="AL3" i="42" s="1"/>
  <c r="V3" i="42"/>
  <c r="O3" i="42"/>
  <c r="X3" i="42" s="1"/>
  <c r="AK3" i="42" s="1"/>
  <c r="V4" i="42" l="1"/>
  <c r="AE3" i="42"/>
  <c r="AR3" i="42" s="1"/>
  <c r="O4" i="42"/>
  <c r="O5" i="42" s="1"/>
  <c r="X5" i="42" s="1"/>
  <c r="AK5" i="42" s="1"/>
  <c r="U4" i="42"/>
  <c r="AD4" i="42" s="1"/>
  <c r="AQ4" i="42" s="1"/>
  <c r="W4" i="42"/>
  <c r="AF4" i="42" s="1"/>
  <c r="AS4" i="42" s="1"/>
  <c r="P4" i="42"/>
  <c r="P5" i="42" s="1"/>
  <c r="N6" i="42"/>
  <c r="L13" i="39"/>
  <c r="B31" i="39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30" i="39"/>
  <c r="X4" i="42" l="1"/>
  <c r="AK4" i="42" s="1"/>
  <c r="P6" i="42"/>
  <c r="Y4" i="42"/>
  <c r="AL4" i="42" s="1"/>
  <c r="O6" i="42"/>
  <c r="X6" i="42" s="1"/>
  <c r="AK6" i="42" s="1"/>
  <c r="Y5" i="42"/>
  <c r="AL5" i="42" s="1"/>
  <c r="U5" i="42"/>
  <c r="W5" i="42"/>
  <c r="V5" i="42"/>
  <c r="AE4" i="42"/>
  <c r="AR4" i="42" s="1"/>
  <c r="Y6" i="42"/>
  <c r="AL6" i="42" s="1"/>
  <c r="N7" i="42"/>
  <c r="V6" i="42" l="1"/>
  <c r="AE5" i="42"/>
  <c r="AR5" i="42" s="1"/>
  <c r="W6" i="42"/>
  <c r="AF5" i="42"/>
  <c r="AS5" i="42" s="1"/>
  <c r="P7" i="42"/>
  <c r="Y7" i="42" s="1"/>
  <c r="AL7" i="42" s="1"/>
  <c r="U6" i="42"/>
  <c r="AD5" i="42"/>
  <c r="AQ5" i="42" s="1"/>
  <c r="O7" i="42"/>
  <c r="N8" i="42"/>
  <c r="F27" i="39"/>
  <c r="E17" i="39"/>
  <c r="C29" i="39"/>
  <c r="O8" i="42" l="1"/>
  <c r="D29" i="39"/>
  <c r="W7" i="42"/>
  <c r="AF6" i="42"/>
  <c r="AS6" i="42" s="1"/>
  <c r="X8" i="42"/>
  <c r="AK8" i="42" s="1"/>
  <c r="V7" i="42"/>
  <c r="AE6" i="42"/>
  <c r="AR6" i="42" s="1"/>
  <c r="X7" i="42"/>
  <c r="AK7" i="42" s="1"/>
  <c r="P8" i="42"/>
  <c r="Y8" i="42" s="1"/>
  <c r="AL8" i="42" s="1"/>
  <c r="U7" i="42"/>
  <c r="AD6" i="42"/>
  <c r="AQ6" i="42" s="1"/>
  <c r="N9" i="42"/>
  <c r="O9" i="42" l="1"/>
  <c r="X9" i="42" s="1"/>
  <c r="AK9" i="42" s="1"/>
  <c r="U8" i="42"/>
  <c r="AD7" i="42"/>
  <c r="AQ7" i="42" s="1"/>
  <c r="V8" i="42"/>
  <c r="AE7" i="42"/>
  <c r="AR7" i="42" s="1"/>
  <c r="W8" i="42"/>
  <c r="AF7" i="42"/>
  <c r="AS7" i="42" s="1"/>
  <c r="P9" i="42"/>
  <c r="N10" i="42"/>
  <c r="O10" i="42" l="1"/>
  <c r="X10" i="42" s="1"/>
  <c r="AK10" i="42" s="1"/>
  <c r="P10" i="42"/>
  <c r="Y10" i="42" s="1"/>
  <c r="AL10" i="42" s="1"/>
  <c r="V9" i="42"/>
  <c r="AE8" i="42"/>
  <c r="AR8" i="42" s="1"/>
  <c r="U9" i="42"/>
  <c r="AD8" i="42"/>
  <c r="AQ8" i="42" s="1"/>
  <c r="W9" i="42"/>
  <c r="AF8" i="42"/>
  <c r="AS8" i="42" s="1"/>
  <c r="Y9" i="42"/>
  <c r="AL9" i="42" s="1"/>
  <c r="L17" i="39"/>
  <c r="C8" i="42"/>
  <c r="L16" i="39"/>
  <c r="C7" i="42"/>
  <c r="N11" i="42"/>
  <c r="L14" i="39"/>
  <c r="P11" i="42" l="1"/>
  <c r="Y11" i="42" s="1"/>
  <c r="AL11" i="42" s="1"/>
  <c r="E8" i="42"/>
  <c r="S3" i="42"/>
  <c r="V10" i="42"/>
  <c r="AE9" i="42"/>
  <c r="AR9" i="42" s="1"/>
  <c r="W10" i="42"/>
  <c r="AF9" i="42"/>
  <c r="AS9" i="42" s="1"/>
  <c r="U10" i="42"/>
  <c r="AD9" i="42"/>
  <c r="AQ9" i="42" s="1"/>
  <c r="O11" i="42"/>
  <c r="X11" i="42" s="1"/>
  <c r="AK11" i="42" s="1"/>
  <c r="E7" i="42"/>
  <c r="R3" i="42"/>
  <c r="AA3" i="42" s="1"/>
  <c r="AN3" i="42" s="1"/>
  <c r="C9" i="42"/>
  <c r="L15" i="39"/>
  <c r="C6" i="42"/>
  <c r="Q3" i="42" s="1"/>
  <c r="Z3" i="42" s="1"/>
  <c r="AM3" i="42" s="1"/>
  <c r="N12" i="42"/>
  <c r="P12" i="42" l="1"/>
  <c r="Y12" i="42" s="1"/>
  <c r="AL12" i="42" s="1"/>
  <c r="W11" i="42"/>
  <c r="AF10" i="42"/>
  <c r="AS10" i="42" s="1"/>
  <c r="E9" i="42"/>
  <c r="T3" i="42"/>
  <c r="AB3" i="42"/>
  <c r="AO3" i="42" s="1"/>
  <c r="S4" i="42"/>
  <c r="O12" i="42"/>
  <c r="X12" i="42" s="1"/>
  <c r="AK12" i="42" s="1"/>
  <c r="U11" i="42"/>
  <c r="AD10" i="42"/>
  <c r="AQ10" i="42" s="1"/>
  <c r="V11" i="42"/>
  <c r="AE10" i="42"/>
  <c r="AR10" i="42" s="1"/>
  <c r="R4" i="42"/>
  <c r="AA4" i="42" s="1"/>
  <c r="AN4" i="42" s="1"/>
  <c r="E6" i="42"/>
  <c r="Q4" i="42" s="1"/>
  <c r="N13" i="42"/>
  <c r="P13" i="42" l="1"/>
  <c r="Y13" i="42" s="1"/>
  <c r="AL13" i="42" s="1"/>
  <c r="Q5" i="42"/>
  <c r="Z5" i="42" s="1"/>
  <c r="AM5" i="42" s="1"/>
  <c r="Z4" i="42"/>
  <c r="AM4" i="42" s="1"/>
  <c r="V12" i="42"/>
  <c r="AE11" i="42"/>
  <c r="AR11" i="42" s="1"/>
  <c r="AC3" i="42"/>
  <c r="T4" i="42"/>
  <c r="W12" i="42"/>
  <c r="AF11" i="42"/>
  <c r="AS11" i="42" s="1"/>
  <c r="O13" i="42"/>
  <c r="U12" i="42"/>
  <c r="AD11" i="42"/>
  <c r="AQ11" i="42" s="1"/>
  <c r="AB4" i="42"/>
  <c r="AO4" i="42" s="1"/>
  <c r="S5" i="42"/>
  <c r="R5" i="42"/>
  <c r="AA5" i="42" s="1"/>
  <c r="AN5" i="42" s="1"/>
  <c r="N14" i="42"/>
  <c r="AH3" i="42" l="1"/>
  <c r="E29" i="39" s="1"/>
  <c r="AP3" i="42"/>
  <c r="AT3" i="42" s="1"/>
  <c r="O14" i="42"/>
  <c r="X14" i="42" s="1"/>
  <c r="AK14" i="42" s="1"/>
  <c r="U13" i="42"/>
  <c r="AD12" i="42"/>
  <c r="AQ12" i="42" s="1"/>
  <c r="W13" i="42"/>
  <c r="AF12" i="42"/>
  <c r="AS12" i="42" s="1"/>
  <c r="AC4" i="42"/>
  <c r="AP4" i="42" s="1"/>
  <c r="AT4" i="42" s="1"/>
  <c r="T5" i="42"/>
  <c r="V13" i="42"/>
  <c r="AE12" i="42"/>
  <c r="AR12" i="42" s="1"/>
  <c r="Q6" i="42"/>
  <c r="Z6" i="42" s="1"/>
  <c r="AM6" i="42" s="1"/>
  <c r="P14" i="42"/>
  <c r="Y14" i="42" s="1"/>
  <c r="AL14" i="42" s="1"/>
  <c r="X13" i="42"/>
  <c r="AK13" i="42" s="1"/>
  <c r="S6" i="42"/>
  <c r="AB5" i="42"/>
  <c r="AO5" i="42" s="1"/>
  <c r="R6" i="42"/>
  <c r="AA6" i="42" s="1"/>
  <c r="AN6" i="42" s="1"/>
  <c r="N15" i="42"/>
  <c r="AI3" i="42" l="1"/>
  <c r="Q7" i="42"/>
  <c r="Z7" i="42" s="1"/>
  <c r="AM7" i="42" s="1"/>
  <c r="V14" i="42"/>
  <c r="AE13" i="42"/>
  <c r="AR13" i="42" s="1"/>
  <c r="U14" i="42"/>
  <c r="AD13" i="42"/>
  <c r="AQ13" i="42" s="1"/>
  <c r="S7" i="42"/>
  <c r="AB6" i="42"/>
  <c r="AO6" i="42" s="1"/>
  <c r="AC5" i="42"/>
  <c r="T6" i="42"/>
  <c r="W14" i="42"/>
  <c r="AF13" i="42"/>
  <c r="AS13" i="42" s="1"/>
  <c r="O15" i="42"/>
  <c r="P15" i="42"/>
  <c r="Y15" i="42" s="1"/>
  <c r="AL15" i="42" s="1"/>
  <c r="R7" i="42"/>
  <c r="AA7" i="42" s="1"/>
  <c r="AN7" i="42" s="1"/>
  <c r="N16" i="42"/>
  <c r="AH5" i="42" l="1"/>
  <c r="AI5" i="42" s="1"/>
  <c r="AP5" i="42"/>
  <c r="AT5" i="42" s="1"/>
  <c r="Q8" i="42"/>
  <c r="Z8" i="42" s="1"/>
  <c r="AM8" i="42" s="1"/>
  <c r="O16" i="42"/>
  <c r="X16" i="42" s="1"/>
  <c r="AK16" i="42" s="1"/>
  <c r="W15" i="42"/>
  <c r="AF14" i="42"/>
  <c r="AS14" i="42" s="1"/>
  <c r="S8" i="42"/>
  <c r="AB7" i="42"/>
  <c r="AO7" i="42" s="1"/>
  <c r="V15" i="42"/>
  <c r="AE14" i="42"/>
  <c r="AR14" i="42" s="1"/>
  <c r="U15" i="42"/>
  <c r="AD14" i="42"/>
  <c r="AQ14" i="42" s="1"/>
  <c r="P16" i="42"/>
  <c r="AC6" i="42"/>
  <c r="T7" i="42"/>
  <c r="X15" i="42"/>
  <c r="AK15" i="42" s="1"/>
  <c r="R8" i="42"/>
  <c r="AA8" i="42" s="1"/>
  <c r="AN8" i="42" s="1"/>
  <c r="N17" i="42"/>
  <c r="AH6" i="42" l="1"/>
  <c r="AI6" i="42" s="1"/>
  <c r="AP6" i="42"/>
  <c r="AT6" i="42" s="1"/>
  <c r="Q9" i="42"/>
  <c r="Z9" i="42" s="1"/>
  <c r="AM9" i="42" s="1"/>
  <c r="U16" i="42"/>
  <c r="AD15" i="42"/>
  <c r="AQ15" i="42" s="1"/>
  <c r="V16" i="42"/>
  <c r="AE15" i="42"/>
  <c r="AR15" i="42" s="1"/>
  <c r="W16" i="42"/>
  <c r="AF15" i="42"/>
  <c r="AS15" i="42" s="1"/>
  <c r="AC7" i="42"/>
  <c r="T8" i="42"/>
  <c r="P17" i="42"/>
  <c r="Y17" i="42" s="1"/>
  <c r="AL17" i="42" s="1"/>
  <c r="Y16" i="42"/>
  <c r="AL16" i="42" s="1"/>
  <c r="S9" i="42"/>
  <c r="AB8" i="42"/>
  <c r="AO8" i="42" s="1"/>
  <c r="O17" i="42"/>
  <c r="X17" i="42" s="1"/>
  <c r="AK17" i="42" s="1"/>
  <c r="R9" i="42"/>
  <c r="AA9" i="42" s="1"/>
  <c r="AN9" i="42" s="1"/>
  <c r="N18" i="42"/>
  <c r="AH7" i="42" l="1"/>
  <c r="AI7" i="42" s="1"/>
  <c r="AP7" i="42"/>
  <c r="AT7" i="42" s="1"/>
  <c r="Q10" i="42"/>
  <c r="Z10" i="42" s="1"/>
  <c r="AM10" i="42" s="1"/>
  <c r="S10" i="42"/>
  <c r="AB9" i="42"/>
  <c r="AO9" i="42" s="1"/>
  <c r="V17" i="42"/>
  <c r="AE16" i="42"/>
  <c r="AR16" i="42" s="1"/>
  <c r="AC8" i="42"/>
  <c r="T9" i="42"/>
  <c r="W17" i="42"/>
  <c r="AF16" i="42"/>
  <c r="AS16" i="42" s="1"/>
  <c r="U17" i="42"/>
  <c r="AD16" i="42"/>
  <c r="AQ16" i="42" s="1"/>
  <c r="O18" i="42"/>
  <c r="P18" i="42"/>
  <c r="R10" i="42"/>
  <c r="AA10" i="42" s="1"/>
  <c r="AN10" i="42" s="1"/>
  <c r="N19" i="42"/>
  <c r="AH8" i="42" l="1"/>
  <c r="AI8" i="42" s="1"/>
  <c r="AP8" i="42"/>
  <c r="AT8" i="42" s="1"/>
  <c r="Q11" i="42"/>
  <c r="Z11" i="42" s="1"/>
  <c r="AM11" i="42" s="1"/>
  <c r="O19" i="42"/>
  <c r="X19" i="42" s="1"/>
  <c r="AK19" i="42" s="1"/>
  <c r="W18" i="42"/>
  <c r="AF17" i="42"/>
  <c r="AS17" i="42" s="1"/>
  <c r="S11" i="42"/>
  <c r="AB10" i="42"/>
  <c r="AO10" i="42" s="1"/>
  <c r="AC9" i="42"/>
  <c r="T10" i="42"/>
  <c r="U18" i="42"/>
  <c r="AD17" i="42"/>
  <c r="AQ17" i="42" s="1"/>
  <c r="V18" i="42"/>
  <c r="AE17" i="42"/>
  <c r="AR17" i="42" s="1"/>
  <c r="P19" i="42"/>
  <c r="Y18" i="42"/>
  <c r="AL18" i="42" s="1"/>
  <c r="X18" i="42"/>
  <c r="AK18" i="42" s="1"/>
  <c r="R11" i="42"/>
  <c r="AA11" i="42" s="1"/>
  <c r="AN11" i="42" s="1"/>
  <c r="Q12" i="42"/>
  <c r="Z12" i="42" s="1"/>
  <c r="AM12" i="42" s="1"/>
  <c r="N20" i="42"/>
  <c r="AH9" i="42" l="1"/>
  <c r="AI9" i="42" s="1"/>
  <c r="AP9" i="42"/>
  <c r="AT9" i="42" s="1"/>
  <c r="U19" i="42"/>
  <c r="AD18" i="42"/>
  <c r="AQ18" i="42" s="1"/>
  <c r="W19" i="42"/>
  <c r="AF18" i="42"/>
  <c r="AS18" i="42" s="1"/>
  <c r="V19" i="42"/>
  <c r="AE18" i="42"/>
  <c r="AR18" i="42" s="1"/>
  <c r="S12" i="42"/>
  <c r="AB11" i="42"/>
  <c r="AO11" i="42" s="1"/>
  <c r="O20" i="42"/>
  <c r="X20" i="42" s="1"/>
  <c r="AK20" i="42" s="1"/>
  <c r="P20" i="42"/>
  <c r="Y20" i="42" s="1"/>
  <c r="AL20" i="42" s="1"/>
  <c r="Y19" i="42"/>
  <c r="AL19" i="42" s="1"/>
  <c r="AC10" i="42"/>
  <c r="T11" i="42"/>
  <c r="R12" i="42"/>
  <c r="AA12" i="42" s="1"/>
  <c r="AN12" i="42" s="1"/>
  <c r="Q13" i="42"/>
  <c r="Z13" i="42" s="1"/>
  <c r="AM13" i="42" s="1"/>
  <c r="N21" i="42"/>
  <c r="AH10" i="42" l="1"/>
  <c r="AI10" i="42" s="1"/>
  <c r="AP10" i="42"/>
  <c r="AT10" i="42" s="1"/>
  <c r="S13" i="42"/>
  <c r="AB12" i="42"/>
  <c r="AO12" i="42" s="1"/>
  <c r="W20" i="42"/>
  <c r="AF19" i="42"/>
  <c r="AS19" i="42" s="1"/>
  <c r="AC11" i="42"/>
  <c r="T12" i="42"/>
  <c r="V20" i="42"/>
  <c r="AE19" i="42"/>
  <c r="AR19" i="42" s="1"/>
  <c r="U20" i="42"/>
  <c r="AD19" i="42"/>
  <c r="AQ19" i="42" s="1"/>
  <c r="O21" i="42"/>
  <c r="X21" i="42" s="1"/>
  <c r="AK21" i="42" s="1"/>
  <c r="P21" i="42"/>
  <c r="Y21" i="42" s="1"/>
  <c r="AL21" i="42" s="1"/>
  <c r="R13" i="42"/>
  <c r="AA13" i="42" s="1"/>
  <c r="AN13" i="42" s="1"/>
  <c r="Q14" i="42"/>
  <c r="Z14" i="42" s="1"/>
  <c r="AM14" i="42" s="1"/>
  <c r="N22" i="42"/>
  <c r="AH11" i="42" l="1"/>
  <c r="AI11" i="42" s="1"/>
  <c r="AP11" i="42"/>
  <c r="AT11" i="42" s="1"/>
  <c r="U21" i="42"/>
  <c r="AD20" i="42"/>
  <c r="AQ20" i="42" s="1"/>
  <c r="S14" i="42"/>
  <c r="AB13" i="42"/>
  <c r="AO13" i="42" s="1"/>
  <c r="AC12" i="42"/>
  <c r="T13" i="42"/>
  <c r="V21" i="42"/>
  <c r="AE20" i="42"/>
  <c r="AR20" i="42" s="1"/>
  <c r="W21" i="42"/>
  <c r="AF20" i="42"/>
  <c r="AS20" i="42" s="1"/>
  <c r="P22" i="42"/>
  <c r="Y22" i="42" s="1"/>
  <c r="AL22" i="42" s="1"/>
  <c r="O22" i="42"/>
  <c r="R14" i="42"/>
  <c r="AA14" i="42" s="1"/>
  <c r="AN14" i="42" s="1"/>
  <c r="Q15" i="42"/>
  <c r="Z15" i="42" s="1"/>
  <c r="AM15" i="42" s="1"/>
  <c r="N23" i="42"/>
  <c r="AH12" i="42" l="1"/>
  <c r="AI12" i="42" s="1"/>
  <c r="AP12" i="42"/>
  <c r="AT12" i="42" s="1"/>
  <c r="O23" i="42"/>
  <c r="X23" i="42" s="1"/>
  <c r="AK23" i="42" s="1"/>
  <c r="W22" i="42"/>
  <c r="AF21" i="42"/>
  <c r="AS21" i="42" s="1"/>
  <c r="U22" i="42"/>
  <c r="AD21" i="42"/>
  <c r="AQ21" i="42" s="1"/>
  <c r="AC13" i="42"/>
  <c r="T14" i="42"/>
  <c r="V22" i="42"/>
  <c r="AE21" i="42"/>
  <c r="AR21" i="42" s="1"/>
  <c r="S15" i="42"/>
  <c r="AB14" i="42"/>
  <c r="AO14" i="42" s="1"/>
  <c r="X22" i="42"/>
  <c r="AK22" i="42" s="1"/>
  <c r="P23" i="42"/>
  <c r="R15" i="42"/>
  <c r="AA15" i="42" s="1"/>
  <c r="AN15" i="42" s="1"/>
  <c r="Q16" i="42"/>
  <c r="Z16" i="42" s="1"/>
  <c r="AM16" i="42" s="1"/>
  <c r="N24" i="42"/>
  <c r="AH13" i="42" l="1"/>
  <c r="AI13" i="42" s="1"/>
  <c r="AP13" i="42"/>
  <c r="AT13" i="42" s="1"/>
  <c r="P24" i="42"/>
  <c r="Y24" i="42" s="1"/>
  <c r="AL24" i="42" s="1"/>
  <c r="Y23" i="42"/>
  <c r="AL23" i="42" s="1"/>
  <c r="V23" i="42"/>
  <c r="AE22" i="42"/>
  <c r="AR22" i="42" s="1"/>
  <c r="W23" i="42"/>
  <c r="AF22" i="42"/>
  <c r="AS22" i="42" s="1"/>
  <c r="S16" i="42"/>
  <c r="AB15" i="42"/>
  <c r="AO15" i="42" s="1"/>
  <c r="U23" i="42"/>
  <c r="AD22" i="42"/>
  <c r="AQ22" i="42" s="1"/>
  <c r="O24" i="42"/>
  <c r="AC14" i="42"/>
  <c r="T15" i="42"/>
  <c r="R16" i="42"/>
  <c r="AA16" i="42" s="1"/>
  <c r="AN16" i="42" s="1"/>
  <c r="Q17" i="42"/>
  <c r="Z17" i="42" s="1"/>
  <c r="AM17" i="42" s="1"/>
  <c r="N25" i="42"/>
  <c r="AH14" i="42" l="1"/>
  <c r="AI14" i="42" s="1"/>
  <c r="AP14" i="42"/>
  <c r="AT14" i="42" s="1"/>
  <c r="O25" i="42"/>
  <c r="X25" i="42" s="1"/>
  <c r="AK25" i="42" s="1"/>
  <c r="U24" i="42"/>
  <c r="AD23" i="42"/>
  <c r="AQ23" i="42" s="1"/>
  <c r="V24" i="42"/>
  <c r="AE23" i="42"/>
  <c r="AR23" i="42" s="1"/>
  <c r="AC15" i="42"/>
  <c r="T16" i="42"/>
  <c r="S17" i="42"/>
  <c r="AB16" i="42"/>
  <c r="AO16" i="42" s="1"/>
  <c r="W24" i="42"/>
  <c r="AF23" i="42"/>
  <c r="AS23" i="42" s="1"/>
  <c r="P25" i="42"/>
  <c r="X24" i="42"/>
  <c r="AK24" i="42" s="1"/>
  <c r="R17" i="42"/>
  <c r="AA17" i="42" s="1"/>
  <c r="AN17" i="42" s="1"/>
  <c r="Q18" i="42"/>
  <c r="Z18" i="42" s="1"/>
  <c r="AM18" i="42" s="1"/>
  <c r="N26" i="42"/>
  <c r="AH15" i="42" l="1"/>
  <c r="AI15" i="42" s="1"/>
  <c r="AP15" i="42"/>
  <c r="AT15" i="42" s="1"/>
  <c r="O26" i="42"/>
  <c r="X26" i="42" s="1"/>
  <c r="AK26" i="42" s="1"/>
  <c r="P26" i="42"/>
  <c r="Y26" i="42" s="1"/>
  <c r="AL26" i="42" s="1"/>
  <c r="S18" i="42"/>
  <c r="AB17" i="42"/>
  <c r="AO17" i="42" s="1"/>
  <c r="U25" i="42"/>
  <c r="AD24" i="42"/>
  <c r="AQ24" i="42" s="1"/>
  <c r="W25" i="42"/>
  <c r="AF24" i="42"/>
  <c r="AS24" i="42" s="1"/>
  <c r="V25" i="42"/>
  <c r="AE24" i="42"/>
  <c r="AR24" i="42" s="1"/>
  <c r="AC16" i="42"/>
  <c r="T17" i="42"/>
  <c r="Y25" i="42"/>
  <c r="AL25" i="42" s="1"/>
  <c r="R18" i="42"/>
  <c r="AA18" i="42" s="1"/>
  <c r="AN18" i="42" s="1"/>
  <c r="Q19" i="42"/>
  <c r="Z19" i="42" s="1"/>
  <c r="AM19" i="42" s="1"/>
  <c r="N27" i="42"/>
  <c r="AH16" i="42" l="1"/>
  <c r="AI16" i="42" s="1"/>
  <c r="AP16" i="42"/>
  <c r="AT16" i="42" s="1"/>
  <c r="O27" i="42"/>
  <c r="X27" i="42" s="1"/>
  <c r="AK27" i="42" s="1"/>
  <c r="V26" i="42"/>
  <c r="AE25" i="42"/>
  <c r="AR25" i="42" s="1"/>
  <c r="S19" i="42"/>
  <c r="AB18" i="42"/>
  <c r="AO18" i="42" s="1"/>
  <c r="AC17" i="42"/>
  <c r="T18" i="42"/>
  <c r="W26" i="42"/>
  <c r="AF25" i="42"/>
  <c r="AS25" i="42" s="1"/>
  <c r="U26" i="42"/>
  <c r="AD25" i="42"/>
  <c r="AQ25" i="42" s="1"/>
  <c r="P27" i="42"/>
  <c r="R19" i="42"/>
  <c r="AA19" i="42" s="1"/>
  <c r="AN19" i="42" s="1"/>
  <c r="Q20" i="42"/>
  <c r="Z20" i="42" s="1"/>
  <c r="AM20" i="42" s="1"/>
  <c r="N28" i="42"/>
  <c r="AH17" i="42" l="1"/>
  <c r="AI17" i="42" s="1"/>
  <c r="AP17" i="42"/>
  <c r="AT17" i="42" s="1"/>
  <c r="P28" i="42"/>
  <c r="Y28" i="42" s="1"/>
  <c r="AL28" i="42" s="1"/>
  <c r="W27" i="42"/>
  <c r="AF26" i="42"/>
  <c r="AS26" i="42" s="1"/>
  <c r="V27" i="42"/>
  <c r="AE26" i="42"/>
  <c r="AR26" i="42" s="1"/>
  <c r="AC18" i="42"/>
  <c r="T19" i="42"/>
  <c r="U27" i="42"/>
  <c r="AD26" i="42"/>
  <c r="AQ26" i="42" s="1"/>
  <c r="S20" i="42"/>
  <c r="AB19" i="42"/>
  <c r="AO19" i="42" s="1"/>
  <c r="O28" i="42"/>
  <c r="Y27" i="42"/>
  <c r="AL27" i="42" s="1"/>
  <c r="R20" i="42"/>
  <c r="AA20" i="42" s="1"/>
  <c r="AN20" i="42" s="1"/>
  <c r="Q21" i="42"/>
  <c r="Z21" i="42" s="1"/>
  <c r="AM21" i="42" s="1"/>
  <c r="N29" i="42"/>
  <c r="AH18" i="42" l="1"/>
  <c r="AI18" i="42" s="1"/>
  <c r="AP18" i="42"/>
  <c r="AT18" i="42" s="1"/>
  <c r="P29" i="42"/>
  <c r="Y29" i="42" s="1"/>
  <c r="AL29" i="42" s="1"/>
  <c r="O29" i="42"/>
  <c r="X29" i="42" s="1"/>
  <c r="AK29" i="42" s="1"/>
  <c r="X28" i="42"/>
  <c r="AK28" i="42" s="1"/>
  <c r="U28" i="42"/>
  <c r="AD27" i="42"/>
  <c r="AQ27" i="42" s="1"/>
  <c r="W28" i="42"/>
  <c r="AF27" i="42"/>
  <c r="AS27" i="42" s="1"/>
  <c r="S21" i="42"/>
  <c r="AB20" i="42"/>
  <c r="AO20" i="42" s="1"/>
  <c r="V28" i="42"/>
  <c r="AE27" i="42"/>
  <c r="AR27" i="42" s="1"/>
  <c r="AC19" i="42"/>
  <c r="T20" i="42"/>
  <c r="R21" i="42"/>
  <c r="AA21" i="42" s="1"/>
  <c r="AN21" i="42" s="1"/>
  <c r="Q22" i="42"/>
  <c r="Z22" i="42" s="1"/>
  <c r="AM22" i="42" s="1"/>
  <c r="N30" i="42"/>
  <c r="AH19" i="42" l="1"/>
  <c r="AI19" i="42" s="1"/>
  <c r="AP19" i="42"/>
  <c r="AT19" i="42" s="1"/>
  <c r="O30" i="42"/>
  <c r="X30" i="42" s="1"/>
  <c r="AK30" i="42" s="1"/>
  <c r="V29" i="42"/>
  <c r="AE28" i="42"/>
  <c r="AR28" i="42" s="1"/>
  <c r="U29" i="42"/>
  <c r="AD28" i="42"/>
  <c r="AQ28" i="42" s="1"/>
  <c r="AC20" i="42"/>
  <c r="T21" i="42"/>
  <c r="S22" i="42"/>
  <c r="AB21" i="42"/>
  <c r="AO21" i="42" s="1"/>
  <c r="W29" i="42"/>
  <c r="AF28" i="42"/>
  <c r="AS28" i="42" s="1"/>
  <c r="P30" i="42"/>
  <c r="R22" i="42"/>
  <c r="AA22" i="42" s="1"/>
  <c r="AN22" i="42" s="1"/>
  <c r="Q23" i="42"/>
  <c r="Z23" i="42" s="1"/>
  <c r="AM23" i="42" s="1"/>
  <c r="N31" i="42"/>
  <c r="AH20" i="42" l="1"/>
  <c r="AI20" i="42" s="1"/>
  <c r="AP20" i="42"/>
  <c r="AT20" i="42" s="1"/>
  <c r="P31" i="42"/>
  <c r="Y31" i="42" s="1"/>
  <c r="AL31" i="42" s="1"/>
  <c r="S23" i="42"/>
  <c r="AB22" i="42"/>
  <c r="AO22" i="42" s="1"/>
  <c r="V30" i="42"/>
  <c r="AE29" i="42"/>
  <c r="AR29" i="42" s="1"/>
  <c r="W30" i="42"/>
  <c r="AF29" i="42"/>
  <c r="AS29" i="42" s="1"/>
  <c r="U30" i="42"/>
  <c r="AD29" i="42"/>
  <c r="AQ29" i="42" s="1"/>
  <c r="Y30" i="42"/>
  <c r="AL30" i="42" s="1"/>
  <c r="O31" i="42"/>
  <c r="AC21" i="42"/>
  <c r="T22" i="42"/>
  <c r="R23" i="42"/>
  <c r="AA23" i="42" s="1"/>
  <c r="AN23" i="42" s="1"/>
  <c r="Q24" i="42"/>
  <c r="Z24" i="42" s="1"/>
  <c r="AM24" i="42" s="1"/>
  <c r="N32" i="42"/>
  <c r="AH21" i="42" l="1"/>
  <c r="AI21" i="42" s="1"/>
  <c r="AP21" i="42"/>
  <c r="AT21" i="42" s="1"/>
  <c r="O32" i="42"/>
  <c r="X32" i="42" s="1"/>
  <c r="AK32" i="42" s="1"/>
  <c r="U31" i="42"/>
  <c r="AD30" i="42"/>
  <c r="AQ30" i="42" s="1"/>
  <c r="S24" i="42"/>
  <c r="AB23" i="42"/>
  <c r="AO23" i="42" s="1"/>
  <c r="AC22" i="42"/>
  <c r="T23" i="42"/>
  <c r="W31" i="42"/>
  <c r="AF30" i="42"/>
  <c r="AS30" i="42" s="1"/>
  <c r="V31" i="42"/>
  <c r="AE30" i="42"/>
  <c r="AR30" i="42" s="1"/>
  <c r="X31" i="42"/>
  <c r="AK31" i="42" s="1"/>
  <c r="P32" i="42"/>
  <c r="Y32" i="42" s="1"/>
  <c r="AL32" i="42" s="1"/>
  <c r="R24" i="42"/>
  <c r="AA24" i="42" s="1"/>
  <c r="AN24" i="42" s="1"/>
  <c r="Q25" i="42"/>
  <c r="Z25" i="42" s="1"/>
  <c r="AM25" i="42" s="1"/>
  <c r="N33" i="42"/>
  <c r="AH22" i="42" l="1"/>
  <c r="AI22" i="42" s="1"/>
  <c r="AP22" i="42"/>
  <c r="AT22" i="42" s="1"/>
  <c r="O33" i="42"/>
  <c r="X33" i="42" s="1"/>
  <c r="AK33" i="42" s="1"/>
  <c r="W32" i="42"/>
  <c r="AF31" i="42"/>
  <c r="AS31" i="42" s="1"/>
  <c r="U32" i="42"/>
  <c r="AD31" i="42"/>
  <c r="AQ31" i="42" s="1"/>
  <c r="V32" i="42"/>
  <c r="AE31" i="42"/>
  <c r="AR31" i="42" s="1"/>
  <c r="S25" i="42"/>
  <c r="AB24" i="42"/>
  <c r="AO24" i="42" s="1"/>
  <c r="P33" i="42"/>
  <c r="AC23" i="42"/>
  <c r="T24" i="42"/>
  <c r="R25" i="42"/>
  <c r="AA25" i="42" s="1"/>
  <c r="AN25" i="42" s="1"/>
  <c r="Q26" i="42"/>
  <c r="Z26" i="42" s="1"/>
  <c r="AM26" i="42" s="1"/>
  <c r="N34" i="42"/>
  <c r="AH23" i="42" l="1"/>
  <c r="AI23" i="42" s="1"/>
  <c r="AP23" i="42"/>
  <c r="AT23" i="42" s="1"/>
  <c r="P34" i="42"/>
  <c r="Y34" i="42" s="1"/>
  <c r="AL34" i="42" s="1"/>
  <c r="S26" i="42"/>
  <c r="AB25" i="42"/>
  <c r="AO25" i="42" s="1"/>
  <c r="W33" i="42"/>
  <c r="AF32" i="42"/>
  <c r="AS32" i="42" s="1"/>
  <c r="AC24" i="42"/>
  <c r="T25" i="42"/>
  <c r="V33" i="42"/>
  <c r="AE32" i="42"/>
  <c r="AR32" i="42" s="1"/>
  <c r="U33" i="42"/>
  <c r="AD32" i="42"/>
  <c r="AQ32" i="42" s="1"/>
  <c r="O34" i="42"/>
  <c r="Y33" i="42"/>
  <c r="AL33" i="42" s="1"/>
  <c r="R26" i="42"/>
  <c r="AA26" i="42" s="1"/>
  <c r="AN26" i="42" s="1"/>
  <c r="Q27" i="42"/>
  <c r="Z27" i="42" s="1"/>
  <c r="AM27" i="42" s="1"/>
  <c r="N35" i="42"/>
  <c r="AH24" i="42" l="1"/>
  <c r="AI24" i="42" s="1"/>
  <c r="AP24" i="42"/>
  <c r="AT24" i="42" s="1"/>
  <c r="AC25" i="42"/>
  <c r="T26" i="42"/>
  <c r="V34" i="42"/>
  <c r="AE33" i="42"/>
  <c r="AR33" i="42" s="1"/>
  <c r="S27" i="42"/>
  <c r="AB26" i="42"/>
  <c r="AO26" i="42" s="1"/>
  <c r="O35" i="42"/>
  <c r="P35" i="42"/>
  <c r="X34" i="42"/>
  <c r="AK34" i="42" s="1"/>
  <c r="U34" i="42"/>
  <c r="AD33" i="42"/>
  <c r="AQ33" i="42" s="1"/>
  <c r="W34" i="42"/>
  <c r="AF33" i="42"/>
  <c r="AS33" i="42" s="1"/>
  <c r="R27" i="42"/>
  <c r="AA27" i="42" s="1"/>
  <c r="AN27" i="42" s="1"/>
  <c r="Q28" i="42"/>
  <c r="Z28" i="42" s="1"/>
  <c r="AM28" i="42" s="1"/>
  <c r="N36" i="42"/>
  <c r="AH25" i="42" l="1"/>
  <c r="AI25" i="42" s="1"/>
  <c r="AP25" i="42"/>
  <c r="AT25" i="42" s="1"/>
  <c r="O36" i="42"/>
  <c r="X36" i="42" s="1"/>
  <c r="AK36" i="42" s="1"/>
  <c r="P36" i="42"/>
  <c r="Y36" i="42" s="1"/>
  <c r="AL36" i="42" s="1"/>
  <c r="S28" i="42"/>
  <c r="AB27" i="42"/>
  <c r="AO27" i="42" s="1"/>
  <c r="X35" i="42"/>
  <c r="AK35" i="42" s="1"/>
  <c r="Y35" i="42"/>
  <c r="AL35" i="42" s="1"/>
  <c r="V35" i="42"/>
  <c r="AE34" i="42"/>
  <c r="AR34" i="42" s="1"/>
  <c r="W35" i="42"/>
  <c r="AF34" i="42"/>
  <c r="AS34" i="42" s="1"/>
  <c r="U35" i="42"/>
  <c r="AD34" i="42"/>
  <c r="AQ34" i="42" s="1"/>
  <c r="AC26" i="42"/>
  <c r="T27" i="42"/>
  <c r="R28" i="42"/>
  <c r="AA28" i="42" s="1"/>
  <c r="AN28" i="42" s="1"/>
  <c r="Q29" i="42"/>
  <c r="Z29" i="42" s="1"/>
  <c r="AM29" i="42" s="1"/>
  <c r="N37" i="42"/>
  <c r="AH26" i="42" l="1"/>
  <c r="AI26" i="42" s="1"/>
  <c r="AP26" i="42"/>
  <c r="AT26" i="42" s="1"/>
  <c r="P37" i="42"/>
  <c r="AC27" i="42"/>
  <c r="T28" i="42"/>
  <c r="U36" i="42"/>
  <c r="AD35" i="42"/>
  <c r="AQ35" i="42" s="1"/>
  <c r="V36" i="42"/>
  <c r="AE35" i="42"/>
  <c r="AR35" i="42" s="1"/>
  <c r="W36" i="42"/>
  <c r="AF35" i="42"/>
  <c r="AS35" i="42" s="1"/>
  <c r="S29" i="42"/>
  <c r="AB28" i="42"/>
  <c r="AO28" i="42" s="1"/>
  <c r="O37" i="42"/>
  <c r="Y37" i="42"/>
  <c r="AL37" i="42" s="1"/>
  <c r="R29" i="42"/>
  <c r="AA29" i="42" s="1"/>
  <c r="AN29" i="42" s="1"/>
  <c r="Q30" i="42"/>
  <c r="Z30" i="42" s="1"/>
  <c r="AM30" i="42" s="1"/>
  <c r="N38" i="42"/>
  <c r="AH27" i="42" l="1"/>
  <c r="AI27" i="42" s="1"/>
  <c r="AP27" i="42"/>
  <c r="AT27" i="42" s="1"/>
  <c r="P38" i="42"/>
  <c r="Y38" i="42" s="1"/>
  <c r="AL38" i="42" s="1"/>
  <c r="O38" i="42"/>
  <c r="X38" i="42" s="1"/>
  <c r="AK38" i="42" s="1"/>
  <c r="X37" i="42"/>
  <c r="AK37" i="42" s="1"/>
  <c r="W37" i="42"/>
  <c r="AF36" i="42"/>
  <c r="AS36" i="42" s="1"/>
  <c r="U37" i="42"/>
  <c r="AD36" i="42"/>
  <c r="AQ36" i="42" s="1"/>
  <c r="S30" i="42"/>
  <c r="AB29" i="42"/>
  <c r="AO29" i="42" s="1"/>
  <c r="V37" i="42"/>
  <c r="AE36" i="42"/>
  <c r="AR36" i="42" s="1"/>
  <c r="AC28" i="42"/>
  <c r="T29" i="42"/>
  <c r="R30" i="42"/>
  <c r="AA30" i="42" s="1"/>
  <c r="AN30" i="42" s="1"/>
  <c r="Q31" i="42"/>
  <c r="Z31" i="42" s="1"/>
  <c r="AM31" i="42" s="1"/>
  <c r="N39" i="42"/>
  <c r="AH28" i="42" l="1"/>
  <c r="AI28" i="42" s="1"/>
  <c r="AP28" i="42"/>
  <c r="AT28" i="42" s="1"/>
  <c r="P39" i="42"/>
  <c r="Y39" i="42" s="1"/>
  <c r="AL39" i="42" s="1"/>
  <c r="V38" i="42"/>
  <c r="AE37" i="42"/>
  <c r="AR37" i="42" s="1"/>
  <c r="W38" i="42"/>
  <c r="AF37" i="42"/>
  <c r="AS37" i="42" s="1"/>
  <c r="AC29" i="42"/>
  <c r="T30" i="42"/>
  <c r="S31" i="42"/>
  <c r="AB30" i="42"/>
  <c r="AO30" i="42" s="1"/>
  <c r="U38" i="42"/>
  <c r="AD37" i="42"/>
  <c r="AQ37" i="42" s="1"/>
  <c r="O39" i="42"/>
  <c r="R31" i="42"/>
  <c r="AA31" i="42" s="1"/>
  <c r="AN31" i="42" s="1"/>
  <c r="Q32" i="42"/>
  <c r="Z32" i="42" s="1"/>
  <c r="AM32" i="42" s="1"/>
  <c r="N40" i="42"/>
  <c r="AH29" i="42" l="1"/>
  <c r="AI29" i="42" s="1"/>
  <c r="AP29" i="42"/>
  <c r="AT29" i="42" s="1"/>
  <c r="O40" i="42"/>
  <c r="X40" i="42" s="1"/>
  <c r="AK40" i="42" s="1"/>
  <c r="AC30" i="42"/>
  <c r="T31" i="42"/>
  <c r="S32" i="42"/>
  <c r="AB31" i="42"/>
  <c r="AO31" i="42" s="1"/>
  <c r="V39" i="42"/>
  <c r="AE38" i="42"/>
  <c r="AR38" i="42" s="1"/>
  <c r="X39" i="42"/>
  <c r="AK39" i="42" s="1"/>
  <c r="P40" i="42"/>
  <c r="Y40" i="42" s="1"/>
  <c r="AL40" i="42" s="1"/>
  <c r="U39" i="42"/>
  <c r="AD38" i="42"/>
  <c r="AQ38" i="42" s="1"/>
  <c r="W39" i="42"/>
  <c r="AF38" i="42"/>
  <c r="AS38" i="42" s="1"/>
  <c r="R32" i="42"/>
  <c r="AA32" i="42" s="1"/>
  <c r="AN32" i="42" s="1"/>
  <c r="Q33" i="42"/>
  <c r="Z33" i="42" s="1"/>
  <c r="AM33" i="42" s="1"/>
  <c r="N41" i="42"/>
  <c r="AH30" i="42" l="1"/>
  <c r="AI30" i="42" s="1"/>
  <c r="AP30" i="42"/>
  <c r="AT30" i="42" s="1"/>
  <c r="O41" i="42"/>
  <c r="X41" i="42" s="1"/>
  <c r="AK41" i="42" s="1"/>
  <c r="V40" i="42"/>
  <c r="AE39" i="42"/>
  <c r="AR39" i="42" s="1"/>
  <c r="W40" i="42"/>
  <c r="AF39" i="42"/>
  <c r="AS39" i="42" s="1"/>
  <c r="AC31" i="42"/>
  <c r="T32" i="42"/>
  <c r="S33" i="42"/>
  <c r="AB32" i="42"/>
  <c r="AO32" i="42" s="1"/>
  <c r="P41" i="42"/>
  <c r="U40" i="42"/>
  <c r="AD39" i="42"/>
  <c r="AQ39" i="42" s="1"/>
  <c r="R33" i="42"/>
  <c r="AA33" i="42" s="1"/>
  <c r="AN33" i="42" s="1"/>
  <c r="Q34" i="42"/>
  <c r="Z34" i="42" s="1"/>
  <c r="AM34" i="42" s="1"/>
  <c r="N42" i="42"/>
  <c r="AH31" i="42" l="1"/>
  <c r="AI31" i="42" s="1"/>
  <c r="AP31" i="42"/>
  <c r="AT31" i="42" s="1"/>
  <c r="P42" i="42"/>
  <c r="Y42" i="42" s="1"/>
  <c r="AL42" i="42" s="1"/>
  <c r="U41" i="42"/>
  <c r="AD40" i="42"/>
  <c r="AQ40" i="42" s="1"/>
  <c r="S34" i="42"/>
  <c r="AB33" i="42"/>
  <c r="AO33" i="42" s="1"/>
  <c r="V41" i="42"/>
  <c r="AE40" i="42"/>
  <c r="AR40" i="42" s="1"/>
  <c r="AC32" i="42"/>
  <c r="T33" i="42"/>
  <c r="W41" i="42"/>
  <c r="AF40" i="42"/>
  <c r="AS40" i="42" s="1"/>
  <c r="Y41" i="42"/>
  <c r="AL41" i="42" s="1"/>
  <c r="O42" i="42"/>
  <c r="X42" i="42" s="1"/>
  <c r="AK42" i="42" s="1"/>
  <c r="R34" i="42"/>
  <c r="AA34" i="42" s="1"/>
  <c r="AN34" i="42" s="1"/>
  <c r="Q35" i="42"/>
  <c r="Z35" i="42" s="1"/>
  <c r="AM35" i="42" s="1"/>
  <c r="N43" i="42"/>
  <c r="AH32" i="42" l="1"/>
  <c r="AI32" i="42" s="1"/>
  <c r="AP32" i="42"/>
  <c r="AT32" i="42" s="1"/>
  <c r="V42" i="42"/>
  <c r="AE41" i="42"/>
  <c r="AR41" i="42" s="1"/>
  <c r="U42" i="42"/>
  <c r="AD41" i="42"/>
  <c r="AQ41" i="42" s="1"/>
  <c r="AC33" i="42"/>
  <c r="T34" i="42"/>
  <c r="O43" i="42"/>
  <c r="X43" i="42" s="1"/>
  <c r="AK43" i="42" s="1"/>
  <c r="W42" i="42"/>
  <c r="AF41" i="42"/>
  <c r="AS41" i="42" s="1"/>
  <c r="S35" i="42"/>
  <c r="AB34" i="42"/>
  <c r="AO34" i="42" s="1"/>
  <c r="P43" i="42"/>
  <c r="Y43" i="42" s="1"/>
  <c r="AL43" i="42" s="1"/>
  <c r="R35" i="42"/>
  <c r="AA35" i="42" s="1"/>
  <c r="AN35" i="42" s="1"/>
  <c r="Q36" i="42"/>
  <c r="Z36" i="42" s="1"/>
  <c r="AM36" i="42" s="1"/>
  <c r="N44" i="42"/>
  <c r="AH33" i="42" l="1"/>
  <c r="AI33" i="42" s="1"/>
  <c r="AP33" i="42"/>
  <c r="AT33" i="42" s="1"/>
  <c r="O44" i="42"/>
  <c r="X44" i="42" s="1"/>
  <c r="AK44" i="42" s="1"/>
  <c r="S36" i="42"/>
  <c r="AB35" i="42"/>
  <c r="AO35" i="42" s="1"/>
  <c r="V43" i="42"/>
  <c r="AE42" i="42"/>
  <c r="AR42" i="42" s="1"/>
  <c r="W43" i="42"/>
  <c r="AF42" i="42"/>
  <c r="AS42" i="42" s="1"/>
  <c r="AC34" i="42"/>
  <c r="T35" i="42"/>
  <c r="P44" i="42"/>
  <c r="Y44" i="42" s="1"/>
  <c r="AL44" i="42" s="1"/>
  <c r="U43" i="42"/>
  <c r="AD42" i="42"/>
  <c r="AQ42" i="42" s="1"/>
  <c r="R36" i="42"/>
  <c r="AA36" i="42" s="1"/>
  <c r="AN36" i="42" s="1"/>
  <c r="Q37" i="42"/>
  <c r="Z37" i="42" s="1"/>
  <c r="AM37" i="42" s="1"/>
  <c r="N45" i="42"/>
  <c r="AH34" i="42" l="1"/>
  <c r="AI34" i="42" s="1"/>
  <c r="AP34" i="42"/>
  <c r="AT34" i="42" s="1"/>
  <c r="S37" i="42"/>
  <c r="AB36" i="42"/>
  <c r="AO36" i="42" s="1"/>
  <c r="AC35" i="42"/>
  <c r="T36" i="42"/>
  <c r="W44" i="42"/>
  <c r="AF43" i="42"/>
  <c r="AS43" i="42" s="1"/>
  <c r="V44" i="42"/>
  <c r="AE43" i="42"/>
  <c r="AR43" i="42" s="1"/>
  <c r="O45" i="42"/>
  <c r="P45" i="42"/>
  <c r="U44" i="42"/>
  <c r="AD43" i="42"/>
  <c r="AQ43" i="42" s="1"/>
  <c r="R37" i="42"/>
  <c r="AA37" i="42" s="1"/>
  <c r="AN37" i="42" s="1"/>
  <c r="Q38" i="42"/>
  <c r="Z38" i="42" s="1"/>
  <c r="AM38" i="42" s="1"/>
  <c r="N46" i="42"/>
  <c r="AH35" i="42" l="1"/>
  <c r="AI35" i="42" s="1"/>
  <c r="AP35" i="42"/>
  <c r="AT35" i="42" s="1"/>
  <c r="P46" i="42"/>
  <c r="Y46" i="42" s="1"/>
  <c r="AL46" i="42" s="1"/>
  <c r="U45" i="42"/>
  <c r="AD44" i="42"/>
  <c r="AQ44" i="42" s="1"/>
  <c r="V45" i="42"/>
  <c r="AE44" i="42"/>
  <c r="AR44" i="42" s="1"/>
  <c r="S38" i="42"/>
  <c r="AB37" i="42"/>
  <c r="AO37" i="42" s="1"/>
  <c r="AC36" i="42"/>
  <c r="T37" i="42"/>
  <c r="W45" i="42"/>
  <c r="AF44" i="42"/>
  <c r="AS44" i="42" s="1"/>
  <c r="Y45" i="42"/>
  <c r="AL45" i="42" s="1"/>
  <c r="O46" i="42"/>
  <c r="X46" i="42" s="1"/>
  <c r="AK46" i="42" s="1"/>
  <c r="X45" i="42"/>
  <c r="AK45" i="42" s="1"/>
  <c r="R38" i="42"/>
  <c r="AA38" i="42" s="1"/>
  <c r="AN38" i="42" s="1"/>
  <c r="Q39" i="42"/>
  <c r="Z39" i="42" s="1"/>
  <c r="AM39" i="42" s="1"/>
  <c r="N47" i="42"/>
  <c r="AH36" i="42" l="1"/>
  <c r="AI36" i="42" s="1"/>
  <c r="AP36" i="42"/>
  <c r="AT36" i="42" s="1"/>
  <c r="S39" i="42"/>
  <c r="AB38" i="42"/>
  <c r="AO38" i="42" s="1"/>
  <c r="U46" i="42"/>
  <c r="AD45" i="42"/>
  <c r="AQ45" i="42" s="1"/>
  <c r="AC37" i="42"/>
  <c r="T38" i="42"/>
  <c r="P47" i="42"/>
  <c r="O47" i="42"/>
  <c r="W46" i="42"/>
  <c r="AF45" i="42"/>
  <c r="AS45" i="42" s="1"/>
  <c r="V46" i="42"/>
  <c r="AE45" i="42"/>
  <c r="AR45" i="42" s="1"/>
  <c r="R39" i="42"/>
  <c r="AA39" i="42" s="1"/>
  <c r="AN39" i="42" s="1"/>
  <c r="Q40" i="42"/>
  <c r="Z40" i="42" s="1"/>
  <c r="AM40" i="42" s="1"/>
  <c r="N48" i="42"/>
  <c r="AH37" i="42" l="1"/>
  <c r="AI37" i="42" s="1"/>
  <c r="AP37" i="42"/>
  <c r="AT37" i="42" s="1"/>
  <c r="P48" i="42"/>
  <c r="Y48" i="42" s="1"/>
  <c r="AL48" i="42" s="1"/>
  <c r="V47" i="42"/>
  <c r="AE46" i="42"/>
  <c r="AR46" i="42" s="1"/>
  <c r="U47" i="42"/>
  <c r="AD46" i="42"/>
  <c r="AQ46" i="42" s="1"/>
  <c r="W47" i="42"/>
  <c r="AF46" i="42"/>
  <c r="AS46" i="42" s="1"/>
  <c r="S40" i="42"/>
  <c r="AB39" i="42"/>
  <c r="AO39" i="42" s="1"/>
  <c r="Y47" i="42"/>
  <c r="AL47" i="42" s="1"/>
  <c r="O48" i="42"/>
  <c r="X47" i="42"/>
  <c r="AK47" i="42" s="1"/>
  <c r="AC38" i="42"/>
  <c r="T39" i="42"/>
  <c r="R40" i="42"/>
  <c r="AA40" i="42" s="1"/>
  <c r="AN40" i="42" s="1"/>
  <c r="Q41" i="42"/>
  <c r="Z41" i="42" s="1"/>
  <c r="AM41" i="42" s="1"/>
  <c r="N49" i="42"/>
  <c r="AH38" i="42" l="1"/>
  <c r="AI38" i="42" s="1"/>
  <c r="AP38" i="42"/>
  <c r="AT38" i="42" s="1"/>
  <c r="AC39" i="42"/>
  <c r="T40" i="42"/>
  <c r="S41" i="42"/>
  <c r="AB40" i="42"/>
  <c r="AO40" i="42" s="1"/>
  <c r="V48" i="42"/>
  <c r="AE47" i="42"/>
  <c r="AR47" i="42" s="1"/>
  <c r="O49" i="42"/>
  <c r="X48" i="42"/>
  <c r="AK48" i="42" s="1"/>
  <c r="W48" i="42"/>
  <c r="AF47" i="42"/>
  <c r="AS47" i="42" s="1"/>
  <c r="U48" i="42"/>
  <c r="AD47" i="42"/>
  <c r="AQ47" i="42" s="1"/>
  <c r="P49" i="42"/>
  <c r="Y49" i="42" s="1"/>
  <c r="AL49" i="42" s="1"/>
  <c r="R41" i="42"/>
  <c r="AA41" i="42" s="1"/>
  <c r="AN41" i="42" s="1"/>
  <c r="Q42" i="42"/>
  <c r="Z42" i="42" s="1"/>
  <c r="AM42" i="42" s="1"/>
  <c r="N50" i="42"/>
  <c r="AH39" i="42" l="1"/>
  <c r="AI39" i="42" s="1"/>
  <c r="AP39" i="42"/>
  <c r="AT39" i="42" s="1"/>
  <c r="O50" i="42"/>
  <c r="X50" i="42" s="1"/>
  <c r="AK50" i="42" s="1"/>
  <c r="U49" i="42"/>
  <c r="AD48" i="42"/>
  <c r="AQ48" i="42" s="1"/>
  <c r="S42" i="42"/>
  <c r="AB41" i="42"/>
  <c r="AO41" i="42" s="1"/>
  <c r="W49" i="42"/>
  <c r="AF48" i="42"/>
  <c r="AS48" i="42" s="1"/>
  <c r="V49" i="42"/>
  <c r="AE48" i="42"/>
  <c r="AR48" i="42" s="1"/>
  <c r="X49" i="42"/>
  <c r="AK49" i="42" s="1"/>
  <c r="P50" i="42"/>
  <c r="AC40" i="42"/>
  <c r="T41" i="42"/>
  <c r="R42" i="42"/>
  <c r="AA42" i="42" s="1"/>
  <c r="AN42" i="42" s="1"/>
  <c r="Q43" i="42"/>
  <c r="Z43" i="42" s="1"/>
  <c r="AM43" i="42" s="1"/>
  <c r="N51" i="42"/>
  <c r="AH40" i="42" l="1"/>
  <c r="AI40" i="42" s="1"/>
  <c r="AP40" i="42"/>
  <c r="AT40" i="42" s="1"/>
  <c r="P51" i="42"/>
  <c r="Y51" i="42" s="1"/>
  <c r="AL51" i="42" s="1"/>
  <c r="V50" i="42"/>
  <c r="AE49" i="42"/>
  <c r="AR49" i="42" s="1"/>
  <c r="U50" i="42"/>
  <c r="AD49" i="42"/>
  <c r="AQ49" i="42" s="1"/>
  <c r="AC41" i="42"/>
  <c r="T42" i="42"/>
  <c r="W50" i="42"/>
  <c r="AF49" i="42"/>
  <c r="AS49" i="42" s="1"/>
  <c r="S43" i="42"/>
  <c r="AB42" i="42"/>
  <c r="AO42" i="42" s="1"/>
  <c r="Y50" i="42"/>
  <c r="AL50" i="42" s="1"/>
  <c r="O51" i="42"/>
  <c r="X51" i="42" s="1"/>
  <c r="AK51" i="42" s="1"/>
  <c r="R43" i="42"/>
  <c r="AA43" i="42" s="1"/>
  <c r="AN43" i="42" s="1"/>
  <c r="Q44" i="42"/>
  <c r="Z44" i="42" s="1"/>
  <c r="AM44" i="42" s="1"/>
  <c r="N52" i="42"/>
  <c r="AH41" i="42" l="1"/>
  <c r="AI41" i="42" s="1"/>
  <c r="AP41" i="42"/>
  <c r="AT41" i="42" s="1"/>
  <c r="P52" i="42"/>
  <c r="Y52" i="42" s="1"/>
  <c r="AL52" i="42" s="1"/>
  <c r="W51" i="42"/>
  <c r="AF50" i="42"/>
  <c r="AS50" i="42" s="1"/>
  <c r="V51" i="42"/>
  <c r="AE50" i="42"/>
  <c r="AR50" i="42" s="1"/>
  <c r="S44" i="42"/>
  <c r="AB43" i="42"/>
  <c r="AO43" i="42" s="1"/>
  <c r="U51" i="42"/>
  <c r="AD50" i="42"/>
  <c r="AQ50" i="42" s="1"/>
  <c r="O52" i="42"/>
  <c r="AC42" i="42"/>
  <c r="T43" i="42"/>
  <c r="R44" i="42"/>
  <c r="AA44" i="42" s="1"/>
  <c r="AN44" i="42" s="1"/>
  <c r="Q45" i="42"/>
  <c r="Z45" i="42" s="1"/>
  <c r="AM45" i="42" s="1"/>
  <c r="N53" i="42"/>
  <c r="AH42" i="42" l="1"/>
  <c r="AI42" i="42" s="1"/>
  <c r="AP42" i="42"/>
  <c r="AT42" i="42" s="1"/>
  <c r="O53" i="42"/>
  <c r="X53" i="42" s="1"/>
  <c r="AK53" i="42" s="1"/>
  <c r="U52" i="42"/>
  <c r="AD52" i="42" s="1"/>
  <c r="AQ52" i="42" s="1"/>
  <c r="AD51" i="42"/>
  <c r="AQ51" i="42" s="1"/>
  <c r="W52" i="42"/>
  <c r="AF52" i="42" s="1"/>
  <c r="AS52" i="42" s="1"/>
  <c r="AF51" i="42"/>
  <c r="AS51" i="42" s="1"/>
  <c r="AC43" i="42"/>
  <c r="T44" i="42"/>
  <c r="S45" i="42"/>
  <c r="AB44" i="42"/>
  <c r="AO44" i="42" s="1"/>
  <c r="V52" i="42"/>
  <c r="AE52" i="42" s="1"/>
  <c r="AR52" i="42" s="1"/>
  <c r="AE51" i="42"/>
  <c r="AR51" i="42" s="1"/>
  <c r="X52" i="42"/>
  <c r="AK52" i="42" s="1"/>
  <c r="P53" i="42"/>
  <c r="Y53" i="42" s="1"/>
  <c r="AL53" i="42" s="1"/>
  <c r="R45" i="42"/>
  <c r="AA45" i="42" s="1"/>
  <c r="AN45" i="42" s="1"/>
  <c r="Q46" i="42"/>
  <c r="Z46" i="42" s="1"/>
  <c r="AM46" i="42" s="1"/>
  <c r="N54" i="42"/>
  <c r="AH43" i="42" l="1"/>
  <c r="AI43" i="42" s="1"/>
  <c r="AP43" i="42"/>
  <c r="AT43" i="42" s="1"/>
  <c r="U53" i="42"/>
  <c r="AD53" i="42" s="1"/>
  <c r="AQ53" i="42" s="1"/>
  <c r="W53" i="42"/>
  <c r="AF53" i="42" s="1"/>
  <c r="AS53" i="42" s="1"/>
  <c r="V53" i="42"/>
  <c r="AE53" i="42" s="1"/>
  <c r="AR53" i="42" s="1"/>
  <c r="O54" i="42"/>
  <c r="X54" i="42" s="1"/>
  <c r="AK54" i="42" s="1"/>
  <c r="U54" i="42"/>
  <c r="AD54" i="42" s="1"/>
  <c r="AQ54" i="42" s="1"/>
  <c r="AC44" i="42"/>
  <c r="T45" i="42"/>
  <c r="P54" i="42"/>
  <c r="S46" i="42"/>
  <c r="AB45" i="42"/>
  <c r="AO45" i="42" s="1"/>
  <c r="R46" i="42"/>
  <c r="AA46" i="42" s="1"/>
  <c r="AN46" i="42" s="1"/>
  <c r="Q47" i="42"/>
  <c r="Z47" i="42" s="1"/>
  <c r="AM47" i="42" s="1"/>
  <c r="N55" i="42"/>
  <c r="AH44" i="42" l="1"/>
  <c r="AI44" i="42" s="1"/>
  <c r="AP44" i="42"/>
  <c r="AT44" i="42" s="1"/>
  <c r="W54" i="42"/>
  <c r="AF54" i="42" s="1"/>
  <c r="AS54" i="42" s="1"/>
  <c r="O55" i="42"/>
  <c r="X55" i="42" s="1"/>
  <c r="AK55" i="42" s="1"/>
  <c r="V54" i="42"/>
  <c r="AE54" i="42" s="1"/>
  <c r="AR54" i="42" s="1"/>
  <c r="AC45" i="42"/>
  <c r="T46" i="42"/>
  <c r="U55" i="42"/>
  <c r="AD55" i="42" s="1"/>
  <c r="AQ55" i="42" s="1"/>
  <c r="S47" i="42"/>
  <c r="AB46" i="42"/>
  <c r="AO46" i="42" s="1"/>
  <c r="P55" i="42"/>
  <c r="Y55" i="42" s="1"/>
  <c r="AL55" i="42" s="1"/>
  <c r="Y54" i="42"/>
  <c r="AL54" i="42" s="1"/>
  <c r="R47" i="42"/>
  <c r="AA47" i="42" s="1"/>
  <c r="AN47" i="42" s="1"/>
  <c r="Q48" i="42"/>
  <c r="Z48" i="42" s="1"/>
  <c r="AM48" i="42" s="1"/>
  <c r="N56" i="42"/>
  <c r="AH45" i="42" l="1"/>
  <c r="AI45" i="42" s="1"/>
  <c r="AP45" i="42"/>
  <c r="AT45" i="42" s="1"/>
  <c r="W55" i="42"/>
  <c r="AF55" i="42" s="1"/>
  <c r="AS55" i="42" s="1"/>
  <c r="O56" i="42"/>
  <c r="X56" i="42" s="1"/>
  <c r="AK56" i="42" s="1"/>
  <c r="V55" i="42"/>
  <c r="AE55" i="42" s="1"/>
  <c r="AR55" i="42" s="1"/>
  <c r="AC46" i="42"/>
  <c r="T47" i="42"/>
  <c r="P56" i="42"/>
  <c r="Y56" i="42" s="1"/>
  <c r="AL56" i="42" s="1"/>
  <c r="U56" i="42"/>
  <c r="AD56" i="42" s="1"/>
  <c r="AQ56" i="42" s="1"/>
  <c r="S48" i="42"/>
  <c r="AB47" i="42"/>
  <c r="AO47" i="42" s="1"/>
  <c r="R48" i="42"/>
  <c r="AA48" i="42" s="1"/>
  <c r="AN48" i="42" s="1"/>
  <c r="Q49" i="42"/>
  <c r="Z49" i="42" s="1"/>
  <c r="AM49" i="42" s="1"/>
  <c r="N57" i="42"/>
  <c r="AH46" i="42" l="1"/>
  <c r="AI46" i="42" s="1"/>
  <c r="AP46" i="42"/>
  <c r="AT46" i="42" s="1"/>
  <c r="W56" i="42"/>
  <c r="AF56" i="42" s="1"/>
  <c r="AS56" i="42" s="1"/>
  <c r="O57" i="42"/>
  <c r="V56" i="42"/>
  <c r="AE56" i="42" s="1"/>
  <c r="AR56" i="42" s="1"/>
  <c r="S49" i="42"/>
  <c r="AB48" i="42"/>
  <c r="AO48" i="42" s="1"/>
  <c r="AC47" i="42"/>
  <c r="T48" i="42"/>
  <c r="U57" i="42"/>
  <c r="AD57" i="42" s="1"/>
  <c r="AQ57" i="42" s="1"/>
  <c r="W57" i="42"/>
  <c r="AF57" i="42" s="1"/>
  <c r="AS57" i="42" s="1"/>
  <c r="X57" i="42"/>
  <c r="AK57" i="42" s="1"/>
  <c r="P57" i="42"/>
  <c r="R49" i="42"/>
  <c r="AA49" i="42" s="1"/>
  <c r="AN49" i="42" s="1"/>
  <c r="Q50" i="42"/>
  <c r="Z50" i="42" s="1"/>
  <c r="AM50" i="42" s="1"/>
  <c r="N58" i="42"/>
  <c r="O58" i="42" s="1"/>
  <c r="AH47" i="42" l="1"/>
  <c r="AI47" i="42" s="1"/>
  <c r="AP47" i="42"/>
  <c r="AT47" i="42" s="1"/>
  <c r="V57" i="42"/>
  <c r="AE57" i="42" s="1"/>
  <c r="AR57" i="42" s="1"/>
  <c r="AC48" i="42"/>
  <c r="T49" i="42"/>
  <c r="S50" i="42"/>
  <c r="AB49" i="42"/>
  <c r="AO49" i="42" s="1"/>
  <c r="U58" i="42"/>
  <c r="AD58" i="42" s="1"/>
  <c r="AQ58" i="42" s="1"/>
  <c r="W58" i="42"/>
  <c r="AF58" i="42" s="1"/>
  <c r="AS58" i="42" s="1"/>
  <c r="X58" i="42"/>
  <c r="AK58" i="42" s="1"/>
  <c r="P58" i="42"/>
  <c r="Y57" i="42"/>
  <c r="AL57" i="42" s="1"/>
  <c r="R50" i="42"/>
  <c r="AA50" i="42" s="1"/>
  <c r="AN50" i="42" s="1"/>
  <c r="Q51" i="42"/>
  <c r="Z51" i="42" s="1"/>
  <c r="AM51" i="42" s="1"/>
  <c r="N59" i="42"/>
  <c r="O59" i="42" s="1"/>
  <c r="AH48" i="42" l="1"/>
  <c r="AI48" i="42" s="1"/>
  <c r="AP48" i="42"/>
  <c r="AT48" i="42" s="1"/>
  <c r="V58" i="42"/>
  <c r="AE58" i="42" s="1"/>
  <c r="AR58" i="42" s="1"/>
  <c r="P59" i="42"/>
  <c r="Y59" i="42" s="1"/>
  <c r="AL59" i="42" s="1"/>
  <c r="AC49" i="42"/>
  <c r="T50" i="42"/>
  <c r="W59" i="42"/>
  <c r="AF59" i="42" s="1"/>
  <c r="AS59" i="42" s="1"/>
  <c r="U59" i="42"/>
  <c r="AD59" i="42" s="1"/>
  <c r="AQ59" i="42" s="1"/>
  <c r="X59" i="42"/>
  <c r="AK59" i="42" s="1"/>
  <c r="S51" i="42"/>
  <c r="AB50" i="42"/>
  <c r="AO50" i="42" s="1"/>
  <c r="Y58" i="42"/>
  <c r="AL58" i="42" s="1"/>
  <c r="R51" i="42"/>
  <c r="Q52" i="42"/>
  <c r="Q53" i="42" s="1"/>
  <c r="N60" i="42"/>
  <c r="AH49" i="42" l="1"/>
  <c r="AI49" i="42" s="1"/>
  <c r="AP49" i="42"/>
  <c r="AT49" i="42" s="1"/>
  <c r="P60" i="42"/>
  <c r="V59" i="42"/>
  <c r="AE59" i="42" s="1"/>
  <c r="AR59" i="42" s="1"/>
  <c r="Z53" i="42"/>
  <c r="AM53" i="42" s="1"/>
  <c r="Q54" i="42"/>
  <c r="Z52" i="42"/>
  <c r="AM52" i="42" s="1"/>
  <c r="AC50" i="42"/>
  <c r="T51" i="42"/>
  <c r="S52" i="42"/>
  <c r="AB51" i="42"/>
  <c r="AO51" i="42" s="1"/>
  <c r="O60" i="42"/>
  <c r="X60" i="42" s="1"/>
  <c r="AK60" i="42" s="1"/>
  <c r="W60" i="42"/>
  <c r="AF60" i="42" s="1"/>
  <c r="AS60" i="42" s="1"/>
  <c r="U60" i="42"/>
  <c r="AD60" i="42" s="1"/>
  <c r="AQ60" i="42" s="1"/>
  <c r="Y60" i="42"/>
  <c r="AL60" i="42" s="1"/>
  <c r="R52" i="42"/>
  <c r="AA51" i="42"/>
  <c r="AN51" i="42" s="1"/>
  <c r="N61" i="42"/>
  <c r="AH50" i="42" l="1"/>
  <c r="AI50" i="42" s="1"/>
  <c r="AP50" i="42"/>
  <c r="AT50" i="42" s="1"/>
  <c r="P61" i="42"/>
  <c r="Y61" i="42" s="1"/>
  <c r="AL61" i="42" s="1"/>
  <c r="V60" i="42"/>
  <c r="AE60" i="42" s="1"/>
  <c r="AR60" i="42" s="1"/>
  <c r="AA52" i="42"/>
  <c r="AN52" i="42" s="1"/>
  <c r="R53" i="42"/>
  <c r="Z54" i="42"/>
  <c r="AM54" i="42" s="1"/>
  <c r="Q55" i="42"/>
  <c r="AB52" i="42"/>
  <c r="AO52" i="42" s="1"/>
  <c r="S53" i="42"/>
  <c r="AC51" i="42"/>
  <c r="T52" i="42"/>
  <c r="U61" i="42"/>
  <c r="AD61" i="42" s="1"/>
  <c r="AQ61" i="42" s="1"/>
  <c r="W61" i="42"/>
  <c r="AF61" i="42" s="1"/>
  <c r="AS61" i="42" s="1"/>
  <c r="O61" i="42"/>
  <c r="X61" i="42" s="1"/>
  <c r="AK61" i="42" s="1"/>
  <c r="N62" i="42"/>
  <c r="AH51" i="42" l="1"/>
  <c r="AI51" i="42" s="1"/>
  <c r="AP51" i="42"/>
  <c r="AT51" i="42" s="1"/>
  <c r="V61" i="42"/>
  <c r="AE61" i="42" s="1"/>
  <c r="AR61" i="42" s="1"/>
  <c r="P62" i="42"/>
  <c r="Y62" i="42" s="1"/>
  <c r="AL62" i="42" s="1"/>
  <c r="AC52" i="42"/>
  <c r="T53" i="42"/>
  <c r="AA53" i="42"/>
  <c r="AN53" i="42" s="1"/>
  <c r="R54" i="42"/>
  <c r="AB53" i="42"/>
  <c r="AO53" i="42" s="1"/>
  <c r="S54" i="42"/>
  <c r="Z55" i="42"/>
  <c r="AM55" i="42" s="1"/>
  <c r="Q56" i="42"/>
  <c r="O62" i="42"/>
  <c r="X62" i="42" s="1"/>
  <c r="AK62" i="42" s="1"/>
  <c r="U62" i="42"/>
  <c r="AD62" i="42" s="1"/>
  <c r="AQ62" i="42" s="1"/>
  <c r="W62" i="42"/>
  <c r="AF62" i="42" s="1"/>
  <c r="AS62" i="42" s="1"/>
  <c r="N63" i="42"/>
  <c r="AH52" i="42" l="1"/>
  <c r="AI52" i="42" s="1"/>
  <c r="AP52" i="42"/>
  <c r="AT52" i="42" s="1"/>
  <c r="V62" i="42"/>
  <c r="AE62" i="42" s="1"/>
  <c r="AR62" i="42" s="1"/>
  <c r="Z56" i="42"/>
  <c r="AM56" i="42" s="1"/>
  <c r="Q57" i="42"/>
  <c r="AB54" i="42"/>
  <c r="AO54" i="42" s="1"/>
  <c r="S55" i="42"/>
  <c r="AC53" i="42"/>
  <c r="T54" i="42"/>
  <c r="AA54" i="42"/>
  <c r="AN54" i="42" s="1"/>
  <c r="R55" i="42"/>
  <c r="W63" i="42"/>
  <c r="AF63" i="42" s="1"/>
  <c r="AS63" i="42" s="1"/>
  <c r="U63" i="42"/>
  <c r="AD63" i="42" s="1"/>
  <c r="AQ63" i="42" s="1"/>
  <c r="P63" i="42"/>
  <c r="Y63" i="42" s="1"/>
  <c r="AL63" i="42" s="1"/>
  <c r="O63" i="42"/>
  <c r="X63" i="42" s="1"/>
  <c r="AK63" i="42" s="1"/>
  <c r="N64" i="42"/>
  <c r="AH53" i="42" l="1"/>
  <c r="AI53" i="42" s="1"/>
  <c r="AP53" i="42"/>
  <c r="AT53" i="42" s="1"/>
  <c r="V63" i="42"/>
  <c r="AE63" i="42" s="1"/>
  <c r="AR63" i="42" s="1"/>
  <c r="AC54" i="42"/>
  <c r="T55" i="42"/>
  <c r="Z57" i="42"/>
  <c r="AM57" i="42" s="1"/>
  <c r="Q58" i="42"/>
  <c r="AA55" i="42"/>
  <c r="AN55" i="42" s="1"/>
  <c r="R56" i="42"/>
  <c r="AB55" i="42"/>
  <c r="AO55" i="42" s="1"/>
  <c r="S56" i="42"/>
  <c r="W64" i="42"/>
  <c r="AF64" i="42" s="1"/>
  <c r="AS64" i="42" s="1"/>
  <c r="O64" i="42"/>
  <c r="X64" i="42" s="1"/>
  <c r="AK64" i="42" s="1"/>
  <c r="U64" i="42"/>
  <c r="AD64" i="42" s="1"/>
  <c r="AQ64" i="42" s="1"/>
  <c r="P64" i="42"/>
  <c r="Y64" i="42" s="1"/>
  <c r="AL64" i="42" s="1"/>
  <c r="N65" i="42"/>
  <c r="AH54" i="42" l="1"/>
  <c r="AI54" i="42" s="1"/>
  <c r="AP54" i="42"/>
  <c r="AT54" i="42" s="1"/>
  <c r="V64" i="42"/>
  <c r="AE64" i="42" s="1"/>
  <c r="AR64" i="42" s="1"/>
  <c r="AB56" i="42"/>
  <c r="AO56" i="42" s="1"/>
  <c r="S57" i="42"/>
  <c r="AC55" i="42"/>
  <c r="T56" i="42"/>
  <c r="AA56" i="42"/>
  <c r="AN56" i="42" s="1"/>
  <c r="R57" i="42"/>
  <c r="Z58" i="42"/>
  <c r="AM58" i="42" s="1"/>
  <c r="Q59" i="42"/>
  <c r="U65" i="42"/>
  <c r="AD65" i="42" s="1"/>
  <c r="AQ65" i="42" s="1"/>
  <c r="W65" i="42"/>
  <c r="AF65" i="42" s="1"/>
  <c r="AS65" i="42" s="1"/>
  <c r="O65" i="42"/>
  <c r="X65" i="42" s="1"/>
  <c r="AK65" i="42" s="1"/>
  <c r="V65" i="42"/>
  <c r="AE65" i="42" s="1"/>
  <c r="AR65" i="42" s="1"/>
  <c r="P65" i="42"/>
  <c r="Y65" i="42" s="1"/>
  <c r="AL65" i="42" s="1"/>
  <c r="N66" i="42"/>
  <c r="AH55" i="42" l="1"/>
  <c r="AI55" i="42" s="1"/>
  <c r="AP55" i="42"/>
  <c r="AT55" i="42" s="1"/>
  <c r="Z59" i="42"/>
  <c r="AM59" i="42" s="1"/>
  <c r="Q60" i="42"/>
  <c r="AB57" i="42"/>
  <c r="AO57" i="42" s="1"/>
  <c r="S58" i="42"/>
  <c r="AA57" i="42"/>
  <c r="AN57" i="42" s="1"/>
  <c r="R58" i="42"/>
  <c r="AC56" i="42"/>
  <c r="T57" i="42"/>
  <c r="V66" i="42"/>
  <c r="AE66" i="42" s="1"/>
  <c r="AR66" i="42" s="1"/>
  <c r="U66" i="42"/>
  <c r="AD66" i="42" s="1"/>
  <c r="AQ66" i="42" s="1"/>
  <c r="O66" i="42"/>
  <c r="X66" i="42" s="1"/>
  <c r="AK66" i="42" s="1"/>
  <c r="W66" i="42"/>
  <c r="AF66" i="42" s="1"/>
  <c r="AS66" i="42" s="1"/>
  <c r="P66" i="42"/>
  <c r="Y66" i="42" s="1"/>
  <c r="AL66" i="42" s="1"/>
  <c r="N67" i="42"/>
  <c r="AH56" i="42" l="1"/>
  <c r="AI56" i="42" s="1"/>
  <c r="AP56" i="42"/>
  <c r="AT56" i="42" s="1"/>
  <c r="AC57" i="42"/>
  <c r="T58" i="42"/>
  <c r="Z60" i="42"/>
  <c r="AM60" i="42" s="1"/>
  <c r="Q61" i="42"/>
  <c r="AA58" i="42"/>
  <c r="AN58" i="42" s="1"/>
  <c r="R59" i="42"/>
  <c r="AB58" i="42"/>
  <c r="AO58" i="42" s="1"/>
  <c r="S59" i="42"/>
  <c r="W67" i="42"/>
  <c r="AF67" i="42" s="1"/>
  <c r="AS67" i="42" s="1"/>
  <c r="V67" i="42"/>
  <c r="AE67" i="42" s="1"/>
  <c r="AR67" i="42" s="1"/>
  <c r="O67" i="42"/>
  <c r="X67" i="42" s="1"/>
  <c r="AK67" i="42" s="1"/>
  <c r="P67" i="42"/>
  <c r="Y67" i="42" s="1"/>
  <c r="AL67" i="42" s="1"/>
  <c r="U67" i="42"/>
  <c r="AD67" i="42" s="1"/>
  <c r="AQ67" i="42" s="1"/>
  <c r="N68" i="42"/>
  <c r="AH57" i="42" l="1"/>
  <c r="AI57" i="42" s="1"/>
  <c r="AP57" i="42"/>
  <c r="AT57" i="42" s="1"/>
  <c r="AB59" i="42"/>
  <c r="AO59" i="42" s="1"/>
  <c r="S60" i="42"/>
  <c r="AC58" i="42"/>
  <c r="T59" i="42"/>
  <c r="AA59" i="42"/>
  <c r="AN59" i="42" s="1"/>
  <c r="R60" i="42"/>
  <c r="Z61" i="42"/>
  <c r="AM61" i="42" s="1"/>
  <c r="Q62" i="42"/>
  <c r="W68" i="42"/>
  <c r="AF68" i="42" s="1"/>
  <c r="AS68" i="42" s="1"/>
  <c r="O68" i="42"/>
  <c r="X68" i="42" s="1"/>
  <c r="AK68" i="42" s="1"/>
  <c r="P68" i="42"/>
  <c r="Y68" i="42" s="1"/>
  <c r="AL68" i="42" s="1"/>
  <c r="U68" i="42"/>
  <c r="AD68" i="42" s="1"/>
  <c r="AQ68" i="42" s="1"/>
  <c r="V68" i="42"/>
  <c r="AE68" i="42" s="1"/>
  <c r="AR68" i="42" s="1"/>
  <c r="N69" i="42"/>
  <c r="E20" i="39"/>
  <c r="C60" i="39"/>
  <c r="I29" i="39"/>
  <c r="I30" i="39" s="1"/>
  <c r="I31" i="39" s="1"/>
  <c r="I32" i="39" s="1"/>
  <c r="I33" i="39" s="1"/>
  <c r="I34" i="39" s="1"/>
  <c r="I35" i="39" s="1"/>
  <c r="I36" i="39" s="1"/>
  <c r="I37" i="39" s="1"/>
  <c r="I38" i="39" s="1"/>
  <c r="I39" i="39" s="1"/>
  <c r="I40" i="39" s="1"/>
  <c r="I41" i="39" s="1"/>
  <c r="I42" i="39" s="1"/>
  <c r="I43" i="39" s="1"/>
  <c r="I44" i="39" s="1"/>
  <c r="I45" i="39" s="1"/>
  <c r="I46" i="39" s="1"/>
  <c r="I47" i="39" s="1"/>
  <c r="I48" i="39" s="1"/>
  <c r="I49" i="39" s="1"/>
  <c r="I50" i="39" s="1"/>
  <c r="I51" i="39" s="1"/>
  <c r="I52" i="39" s="1"/>
  <c r="I53" i="39" s="1"/>
  <c r="I54" i="39" s="1"/>
  <c r="I55" i="39" s="1"/>
  <c r="C30" i="39"/>
  <c r="U18" i="39"/>
  <c r="E12" i="39"/>
  <c r="O9" i="39"/>
  <c r="D9" i="39"/>
  <c r="E13" i="39" s="1"/>
  <c r="O7" i="39"/>
  <c r="O6" i="39"/>
  <c r="E16" i="39" s="1"/>
  <c r="O5" i="39"/>
  <c r="O3" i="39"/>
  <c r="O2" i="39"/>
  <c r="E11" i="39" s="1"/>
  <c r="I57" i="39" l="1"/>
  <c r="I58" i="39" s="1"/>
  <c r="I59" i="39" s="1"/>
  <c r="I56" i="39"/>
  <c r="AH58" i="42"/>
  <c r="AI58" i="42" s="1"/>
  <c r="AP58" i="42"/>
  <c r="AT58" i="42" s="1"/>
  <c r="Z62" i="42"/>
  <c r="AM62" i="42" s="1"/>
  <c r="Q63" i="42"/>
  <c r="AB60" i="42"/>
  <c r="AO60" i="42" s="1"/>
  <c r="S61" i="42"/>
  <c r="AA60" i="42"/>
  <c r="AN60" i="42" s="1"/>
  <c r="R61" i="42"/>
  <c r="AC59" i="42"/>
  <c r="T60" i="42"/>
  <c r="D30" i="39"/>
  <c r="U69" i="42"/>
  <c r="AD69" i="42" s="1"/>
  <c r="AQ69" i="42" s="1"/>
  <c r="P69" i="42"/>
  <c r="V69" i="42"/>
  <c r="AE69" i="42" s="1"/>
  <c r="AR69" i="42" s="1"/>
  <c r="O69" i="42"/>
  <c r="X69" i="42" s="1"/>
  <c r="AK69" i="42" s="1"/>
  <c r="W69" i="42"/>
  <c r="AF69" i="42" s="1"/>
  <c r="AS69" i="42" s="1"/>
  <c r="Y69" i="42"/>
  <c r="AL69" i="42" s="1"/>
  <c r="N70" i="42"/>
  <c r="O8" i="39"/>
  <c r="C31" i="39"/>
  <c r="F9" i="39"/>
  <c r="E14" i="39" s="1"/>
  <c r="AH59" i="42" l="1"/>
  <c r="AI59" i="42" s="1"/>
  <c r="AP59" i="42"/>
  <c r="AT59" i="42" s="1"/>
  <c r="AC60" i="42"/>
  <c r="T61" i="42"/>
  <c r="Z63" i="42"/>
  <c r="AM63" i="42" s="1"/>
  <c r="Q64" i="42"/>
  <c r="AA61" i="42"/>
  <c r="AN61" i="42" s="1"/>
  <c r="R62" i="42"/>
  <c r="AB61" i="42"/>
  <c r="AO61" i="42" s="1"/>
  <c r="S62" i="42"/>
  <c r="D31" i="39"/>
  <c r="E31" i="39"/>
  <c r="F31" i="39" s="1"/>
  <c r="V70" i="42"/>
  <c r="AE70" i="42" s="1"/>
  <c r="AR70" i="42" s="1"/>
  <c r="U70" i="42"/>
  <c r="AD70" i="42" s="1"/>
  <c r="AQ70" i="42" s="1"/>
  <c r="W70" i="42"/>
  <c r="AF70" i="42" s="1"/>
  <c r="AS70" i="42" s="1"/>
  <c r="O70" i="42"/>
  <c r="X70" i="42" s="1"/>
  <c r="AK70" i="42" s="1"/>
  <c r="P70" i="42"/>
  <c r="Y70" i="42" s="1"/>
  <c r="AL70" i="42" s="1"/>
  <c r="N71" i="42"/>
  <c r="C32" i="39"/>
  <c r="AH60" i="42" l="1"/>
  <c r="AI60" i="42" s="1"/>
  <c r="AP60" i="42"/>
  <c r="AT60" i="42" s="1"/>
  <c r="AB62" i="42"/>
  <c r="AO62" i="42" s="1"/>
  <c r="S63" i="42"/>
  <c r="AC61" i="42"/>
  <c r="T62" i="42"/>
  <c r="AA62" i="42"/>
  <c r="AN62" i="42" s="1"/>
  <c r="R63" i="42"/>
  <c r="Z64" i="42"/>
  <c r="AM64" i="42" s="1"/>
  <c r="Q65" i="42"/>
  <c r="E32" i="39"/>
  <c r="F32" i="39" s="1"/>
  <c r="D32" i="39"/>
  <c r="W71" i="42"/>
  <c r="AF71" i="42" s="1"/>
  <c r="AS71" i="42" s="1"/>
  <c r="V71" i="42"/>
  <c r="AE71" i="42" s="1"/>
  <c r="AR71" i="42" s="1"/>
  <c r="U71" i="42"/>
  <c r="AD71" i="42" s="1"/>
  <c r="AQ71" i="42" s="1"/>
  <c r="P71" i="42"/>
  <c r="Y71" i="42" s="1"/>
  <c r="AL71" i="42" s="1"/>
  <c r="O71" i="42"/>
  <c r="X71" i="42" s="1"/>
  <c r="AK71" i="42" s="1"/>
  <c r="N72" i="42"/>
  <c r="C33" i="39"/>
  <c r="AH61" i="42" l="1"/>
  <c r="AI61" i="42" s="1"/>
  <c r="AP61" i="42"/>
  <c r="AT61" i="42" s="1"/>
  <c r="AA63" i="42"/>
  <c r="AN63" i="42" s="1"/>
  <c r="R64" i="42"/>
  <c r="AB63" i="42"/>
  <c r="AO63" i="42" s="1"/>
  <c r="S64" i="42"/>
  <c r="Z65" i="42"/>
  <c r="AM65" i="42" s="1"/>
  <c r="Q66" i="42"/>
  <c r="AC62" i="42"/>
  <c r="T63" i="42"/>
  <c r="E33" i="39"/>
  <c r="F33" i="39" s="1"/>
  <c r="D33" i="39"/>
  <c r="W72" i="42"/>
  <c r="AF72" i="42" s="1"/>
  <c r="AS72" i="42" s="1"/>
  <c r="V72" i="42"/>
  <c r="AE72" i="42" s="1"/>
  <c r="AR72" i="42" s="1"/>
  <c r="U72" i="42"/>
  <c r="AD72" i="42" s="1"/>
  <c r="AQ72" i="42" s="1"/>
  <c r="O72" i="42"/>
  <c r="X72" i="42" s="1"/>
  <c r="AK72" i="42" s="1"/>
  <c r="P72" i="42"/>
  <c r="Y72" i="42" s="1"/>
  <c r="AL72" i="42" s="1"/>
  <c r="N73" i="42"/>
  <c r="C34" i="39"/>
  <c r="AH62" i="42" l="1"/>
  <c r="AI62" i="42" s="1"/>
  <c r="AP62" i="42"/>
  <c r="AT62" i="42" s="1"/>
  <c r="AC63" i="42"/>
  <c r="T64" i="42"/>
  <c r="AB64" i="42"/>
  <c r="AO64" i="42" s="1"/>
  <c r="S65" i="42"/>
  <c r="AA64" i="42"/>
  <c r="AN64" i="42" s="1"/>
  <c r="R65" i="42"/>
  <c r="Z66" i="42"/>
  <c r="AM66" i="42" s="1"/>
  <c r="Q67" i="42"/>
  <c r="U73" i="42"/>
  <c r="AD73" i="42" s="1"/>
  <c r="AQ73" i="42" s="1"/>
  <c r="T73" i="42"/>
  <c r="AC73" i="42" s="1"/>
  <c r="AP73" i="42" s="1"/>
  <c r="P73" i="42"/>
  <c r="Y73" i="42" s="1"/>
  <c r="AL73" i="42" s="1"/>
  <c r="S73" i="42"/>
  <c r="AB73" i="42" s="1"/>
  <c r="AO73" i="42" s="1"/>
  <c r="R73" i="42"/>
  <c r="AA73" i="42" s="1"/>
  <c r="AN73" i="42" s="1"/>
  <c r="W73" i="42"/>
  <c r="AF73" i="42" s="1"/>
  <c r="AS73" i="42" s="1"/>
  <c r="O73" i="42"/>
  <c r="X73" i="42" s="1"/>
  <c r="AK73" i="42" s="1"/>
  <c r="AT73" i="42" s="1"/>
  <c r="V73" i="42"/>
  <c r="AE73" i="42" s="1"/>
  <c r="AR73" i="42" s="1"/>
  <c r="Q73" i="42"/>
  <c r="Z73" i="42" s="1"/>
  <c r="AM73" i="42" s="1"/>
  <c r="E34" i="39"/>
  <c r="F34" i="39" s="1"/>
  <c r="D34" i="39"/>
  <c r="N74" i="42"/>
  <c r="C35" i="39"/>
  <c r="AH63" i="42" l="1"/>
  <c r="AI63" i="42" s="1"/>
  <c r="AP63" i="42"/>
  <c r="AT63" i="42" s="1"/>
  <c r="Z67" i="42"/>
  <c r="AM67" i="42" s="1"/>
  <c r="Q68" i="42"/>
  <c r="AC64" i="42"/>
  <c r="T65" i="42"/>
  <c r="AA65" i="42"/>
  <c r="AN65" i="42" s="1"/>
  <c r="R66" i="42"/>
  <c r="AB65" i="42"/>
  <c r="AO65" i="42" s="1"/>
  <c r="S66" i="42"/>
  <c r="D35" i="39"/>
  <c r="E35" i="39"/>
  <c r="F35" i="39" s="1"/>
  <c r="V74" i="42"/>
  <c r="AE74" i="42" s="1"/>
  <c r="AR74" i="42" s="1"/>
  <c r="U74" i="42"/>
  <c r="AD74" i="42" s="1"/>
  <c r="AQ74" i="42" s="1"/>
  <c r="T74" i="42"/>
  <c r="AC74" i="42" s="1"/>
  <c r="AP74" i="42" s="1"/>
  <c r="Q74" i="42"/>
  <c r="Z74" i="42" s="1"/>
  <c r="AM74" i="42" s="1"/>
  <c r="R74" i="42"/>
  <c r="AA74" i="42" s="1"/>
  <c r="AN74" i="42" s="1"/>
  <c r="P74" i="42"/>
  <c r="Y74" i="42" s="1"/>
  <c r="AL74" i="42" s="1"/>
  <c r="O74" i="42"/>
  <c r="X74" i="42" s="1"/>
  <c r="AK74" i="42" s="1"/>
  <c r="W74" i="42"/>
  <c r="AF74" i="42" s="1"/>
  <c r="AS74" i="42" s="1"/>
  <c r="S74" i="42"/>
  <c r="AB74" i="42" s="1"/>
  <c r="AO74" i="42" s="1"/>
  <c r="N75" i="42"/>
  <c r="AH73" i="42"/>
  <c r="AI73" i="42" s="1"/>
  <c r="C36" i="39"/>
  <c r="AT74" i="42" l="1"/>
  <c r="AH64" i="42"/>
  <c r="AI64" i="42" s="1"/>
  <c r="AP64" i="42"/>
  <c r="AT64" i="42" s="1"/>
  <c r="Z68" i="42"/>
  <c r="AM68" i="42" s="1"/>
  <c r="Q69" i="42"/>
  <c r="AA66" i="42"/>
  <c r="AN66" i="42" s="1"/>
  <c r="R67" i="42"/>
  <c r="AB66" i="42"/>
  <c r="AO66" i="42" s="1"/>
  <c r="S67" i="42"/>
  <c r="AC65" i="42"/>
  <c r="T66" i="42"/>
  <c r="S75" i="42"/>
  <c r="AB75" i="42" s="1"/>
  <c r="AO75" i="42" s="1"/>
  <c r="W75" i="42"/>
  <c r="AF75" i="42" s="1"/>
  <c r="AS75" i="42" s="1"/>
  <c r="V75" i="42"/>
  <c r="AE75" i="42" s="1"/>
  <c r="AR75" i="42" s="1"/>
  <c r="Q75" i="42"/>
  <c r="Z75" i="42" s="1"/>
  <c r="AM75" i="42" s="1"/>
  <c r="T75" i="42"/>
  <c r="AC75" i="42" s="1"/>
  <c r="AP75" i="42" s="1"/>
  <c r="O75" i="42"/>
  <c r="X75" i="42" s="1"/>
  <c r="AK75" i="42" s="1"/>
  <c r="P75" i="42"/>
  <c r="Y75" i="42" s="1"/>
  <c r="AL75" i="42" s="1"/>
  <c r="U75" i="42"/>
  <c r="AD75" i="42" s="1"/>
  <c r="AQ75" i="42" s="1"/>
  <c r="R75" i="42"/>
  <c r="AA75" i="42" s="1"/>
  <c r="AN75" i="42" s="1"/>
  <c r="E36" i="39"/>
  <c r="F36" i="39" s="1"/>
  <c r="D36" i="39"/>
  <c r="AH74" i="42"/>
  <c r="AI74" i="42" s="1"/>
  <c r="N76" i="42"/>
  <c r="C37" i="39"/>
  <c r="AT75" i="42" l="1"/>
  <c r="AH65" i="42"/>
  <c r="AI65" i="42" s="1"/>
  <c r="AP65" i="42"/>
  <c r="AT65" i="42" s="1"/>
  <c r="Z69" i="42"/>
  <c r="AM69" i="42" s="1"/>
  <c r="Q70" i="42"/>
  <c r="AB67" i="42"/>
  <c r="AO67" i="42" s="1"/>
  <c r="S68" i="42"/>
  <c r="AC66" i="42"/>
  <c r="T67" i="42"/>
  <c r="AA67" i="42"/>
  <c r="AN67" i="42" s="1"/>
  <c r="R68" i="42"/>
  <c r="W76" i="42"/>
  <c r="AF76" i="42" s="1"/>
  <c r="AS76" i="42" s="1"/>
  <c r="S76" i="42"/>
  <c r="AB76" i="42" s="1"/>
  <c r="AO76" i="42" s="1"/>
  <c r="O76" i="42"/>
  <c r="X76" i="42" s="1"/>
  <c r="AK76" i="42" s="1"/>
  <c r="P76" i="42"/>
  <c r="Y76" i="42" s="1"/>
  <c r="AL76" i="42" s="1"/>
  <c r="U76" i="42"/>
  <c r="AD76" i="42" s="1"/>
  <c r="AQ76" i="42" s="1"/>
  <c r="V76" i="42"/>
  <c r="AE76" i="42" s="1"/>
  <c r="AR76" i="42" s="1"/>
  <c r="Q76" i="42"/>
  <c r="Z76" i="42" s="1"/>
  <c r="AM76" i="42" s="1"/>
  <c r="R76" i="42"/>
  <c r="AA76" i="42" s="1"/>
  <c r="AN76" i="42" s="1"/>
  <c r="T76" i="42"/>
  <c r="AC76" i="42" s="1"/>
  <c r="AP76" i="42" s="1"/>
  <c r="E37" i="39"/>
  <c r="F37" i="39" s="1"/>
  <c r="D37" i="39"/>
  <c r="N77" i="42"/>
  <c r="AH75" i="42"/>
  <c r="AI75" i="42" s="1"/>
  <c r="C38" i="39"/>
  <c r="AH66" i="42" l="1"/>
  <c r="AI66" i="42" s="1"/>
  <c r="AP66" i="42"/>
  <c r="AT66" i="42" s="1"/>
  <c r="AT76" i="42"/>
  <c r="AB68" i="42"/>
  <c r="AO68" i="42" s="1"/>
  <c r="S69" i="42"/>
  <c r="AA68" i="42"/>
  <c r="AN68" i="42" s="1"/>
  <c r="R69" i="42"/>
  <c r="Z70" i="42"/>
  <c r="AM70" i="42" s="1"/>
  <c r="Q71" i="42"/>
  <c r="AC67" i="42"/>
  <c r="T68" i="42"/>
  <c r="E38" i="39"/>
  <c r="F38" i="39" s="1"/>
  <c r="D38" i="39"/>
  <c r="U77" i="42"/>
  <c r="AD77" i="42" s="1"/>
  <c r="AQ77" i="42" s="1"/>
  <c r="T77" i="42"/>
  <c r="AC77" i="42" s="1"/>
  <c r="AP77" i="42" s="1"/>
  <c r="V77" i="42"/>
  <c r="AE77" i="42" s="1"/>
  <c r="AR77" i="42" s="1"/>
  <c r="Q77" i="42"/>
  <c r="R77" i="42"/>
  <c r="AA77" i="42" s="1"/>
  <c r="AN77" i="42" s="1"/>
  <c r="S77" i="42"/>
  <c r="AB77" i="42" s="1"/>
  <c r="AO77" i="42" s="1"/>
  <c r="O77" i="42"/>
  <c r="X77" i="42" s="1"/>
  <c r="AK77" i="42" s="1"/>
  <c r="Z77" i="42"/>
  <c r="AM77" i="42" s="1"/>
  <c r="W77" i="42"/>
  <c r="AF77" i="42" s="1"/>
  <c r="AS77" i="42" s="1"/>
  <c r="P77" i="42"/>
  <c r="Y77" i="42" s="1"/>
  <c r="AL77" i="42" s="1"/>
  <c r="N78" i="42"/>
  <c r="AH76" i="42"/>
  <c r="AI76" i="42" s="1"/>
  <c r="C39" i="39"/>
  <c r="AT77" i="42" l="1"/>
  <c r="AH67" i="42"/>
  <c r="AI67" i="42" s="1"/>
  <c r="AP67" i="42"/>
  <c r="AT67" i="42" s="1"/>
  <c r="AB69" i="42"/>
  <c r="AO69" i="42" s="1"/>
  <c r="S70" i="42"/>
  <c r="AC68" i="42"/>
  <c r="T69" i="42"/>
  <c r="AA69" i="42"/>
  <c r="AN69" i="42" s="1"/>
  <c r="R70" i="42"/>
  <c r="Z71" i="42"/>
  <c r="AM71" i="42" s="1"/>
  <c r="Q72" i="42"/>
  <c r="Z72" i="42" s="1"/>
  <c r="AM72" i="42" s="1"/>
  <c r="E39" i="39"/>
  <c r="F39" i="39" s="1"/>
  <c r="D39" i="39"/>
  <c r="V78" i="42"/>
  <c r="AE78" i="42" s="1"/>
  <c r="AR78" i="42" s="1"/>
  <c r="U78" i="42"/>
  <c r="AD78" i="42" s="1"/>
  <c r="AQ78" i="42" s="1"/>
  <c r="T78" i="42"/>
  <c r="AC78" i="42" s="1"/>
  <c r="AP78" i="42" s="1"/>
  <c r="Q78" i="42"/>
  <c r="Z78" i="42" s="1"/>
  <c r="AM78" i="42" s="1"/>
  <c r="R78" i="42"/>
  <c r="AA78" i="42" s="1"/>
  <c r="AN78" i="42" s="1"/>
  <c r="W78" i="42"/>
  <c r="AF78" i="42" s="1"/>
  <c r="AS78" i="42" s="1"/>
  <c r="S78" i="42"/>
  <c r="AB78" i="42" s="1"/>
  <c r="AO78" i="42" s="1"/>
  <c r="O78" i="42"/>
  <c r="X78" i="42" s="1"/>
  <c r="AK78" i="42" s="1"/>
  <c r="P78" i="42"/>
  <c r="Y78" i="42" s="1"/>
  <c r="AL78" i="42" s="1"/>
  <c r="AH77" i="42"/>
  <c r="AI77" i="42" s="1"/>
  <c r="N79" i="42"/>
  <c r="C40" i="39"/>
  <c r="AT78" i="42" l="1"/>
  <c r="AH68" i="42"/>
  <c r="AI68" i="42" s="1"/>
  <c r="AP68" i="42"/>
  <c r="AT68" i="42" s="1"/>
  <c r="AC69" i="42"/>
  <c r="T70" i="42"/>
  <c r="AB70" i="42"/>
  <c r="AO70" i="42" s="1"/>
  <c r="S71" i="42"/>
  <c r="AA70" i="42"/>
  <c r="AN70" i="42" s="1"/>
  <c r="R71" i="42"/>
  <c r="S79" i="42"/>
  <c r="AB79" i="42" s="1"/>
  <c r="AO79" i="42" s="1"/>
  <c r="W79" i="42"/>
  <c r="AF79" i="42" s="1"/>
  <c r="AS79" i="42" s="1"/>
  <c r="V79" i="42"/>
  <c r="AE79" i="42" s="1"/>
  <c r="AR79" i="42" s="1"/>
  <c r="U79" i="42"/>
  <c r="AD79" i="42" s="1"/>
  <c r="AQ79" i="42" s="1"/>
  <c r="Q79" i="42"/>
  <c r="Z79" i="42" s="1"/>
  <c r="AM79" i="42" s="1"/>
  <c r="P79" i="42"/>
  <c r="Y79" i="42" s="1"/>
  <c r="AL79" i="42" s="1"/>
  <c r="T79" i="42"/>
  <c r="AC79" i="42" s="1"/>
  <c r="AP79" i="42" s="1"/>
  <c r="R79" i="42"/>
  <c r="AA79" i="42" s="1"/>
  <c r="AN79" i="42" s="1"/>
  <c r="O79" i="42"/>
  <c r="X79" i="42" s="1"/>
  <c r="AK79" i="42" s="1"/>
  <c r="E40" i="39"/>
  <c r="F40" i="39" s="1"/>
  <c r="D40" i="39"/>
  <c r="AH78" i="42"/>
  <c r="AI78" i="42" s="1"/>
  <c r="N80" i="42"/>
  <c r="C41" i="39"/>
  <c r="AH69" i="42" l="1"/>
  <c r="AI69" i="42" s="1"/>
  <c r="AP69" i="42"/>
  <c r="AT69" i="42" s="1"/>
  <c r="AT79" i="42"/>
  <c r="AA71" i="42"/>
  <c r="AN71" i="42" s="1"/>
  <c r="R72" i="42"/>
  <c r="AA72" i="42" s="1"/>
  <c r="AN72" i="42" s="1"/>
  <c r="AB71" i="42"/>
  <c r="AO71" i="42" s="1"/>
  <c r="S72" i="42"/>
  <c r="AB72" i="42" s="1"/>
  <c r="AO72" i="42" s="1"/>
  <c r="AC70" i="42"/>
  <c r="T71" i="42"/>
  <c r="E41" i="39"/>
  <c r="F41" i="39" s="1"/>
  <c r="D41" i="39"/>
  <c r="W80" i="42"/>
  <c r="AF80" i="42" s="1"/>
  <c r="AS80" i="42" s="1"/>
  <c r="S80" i="42"/>
  <c r="AB80" i="42" s="1"/>
  <c r="AO80" i="42" s="1"/>
  <c r="U80" i="42"/>
  <c r="AD80" i="42" s="1"/>
  <c r="AQ80" i="42" s="1"/>
  <c r="R80" i="42"/>
  <c r="AA80" i="42" s="1"/>
  <c r="AN80" i="42" s="1"/>
  <c r="V80" i="42"/>
  <c r="AE80" i="42" s="1"/>
  <c r="AR80" i="42" s="1"/>
  <c r="P80" i="42"/>
  <c r="Y80" i="42" s="1"/>
  <c r="AL80" i="42" s="1"/>
  <c r="T80" i="42"/>
  <c r="AC80" i="42" s="1"/>
  <c r="AP80" i="42" s="1"/>
  <c r="Q80" i="42"/>
  <c r="Z80" i="42" s="1"/>
  <c r="AM80" i="42" s="1"/>
  <c r="O80" i="42"/>
  <c r="X80" i="42" s="1"/>
  <c r="AK80" i="42" s="1"/>
  <c r="N81" i="42"/>
  <c r="AH79" i="42"/>
  <c r="AI79" i="42" s="1"/>
  <c r="C42" i="39"/>
  <c r="AH70" i="42" l="1"/>
  <c r="AI70" i="42" s="1"/>
  <c r="AP70" i="42"/>
  <c r="AT70" i="42" s="1"/>
  <c r="AT80" i="42"/>
  <c r="AC71" i="42"/>
  <c r="T72" i="42"/>
  <c r="AC72" i="42" s="1"/>
  <c r="U81" i="42"/>
  <c r="AD81" i="42" s="1"/>
  <c r="AQ81" i="42" s="1"/>
  <c r="T81" i="42"/>
  <c r="AC81" i="42" s="1"/>
  <c r="AP81" i="42" s="1"/>
  <c r="Q81" i="42"/>
  <c r="Z81" i="42" s="1"/>
  <c r="AM81" i="42" s="1"/>
  <c r="P81" i="42"/>
  <c r="Y81" i="42" s="1"/>
  <c r="AL81" i="42" s="1"/>
  <c r="W81" i="42"/>
  <c r="AF81" i="42" s="1"/>
  <c r="AS81" i="42" s="1"/>
  <c r="R81" i="42"/>
  <c r="AA81" i="42" s="1"/>
  <c r="AN81" i="42" s="1"/>
  <c r="O81" i="42"/>
  <c r="X81" i="42" s="1"/>
  <c r="AK81" i="42" s="1"/>
  <c r="V81" i="42"/>
  <c r="AE81" i="42" s="1"/>
  <c r="AR81" i="42" s="1"/>
  <c r="S81" i="42"/>
  <c r="AB81" i="42" s="1"/>
  <c r="AO81" i="42" s="1"/>
  <c r="E42" i="39"/>
  <c r="F42" i="39" s="1"/>
  <c r="D42" i="39"/>
  <c r="AH80" i="42"/>
  <c r="AI80" i="42" s="1"/>
  <c r="N82" i="42"/>
  <c r="C43" i="39"/>
  <c r="AH71" i="42" l="1"/>
  <c r="AI71" i="42" s="1"/>
  <c r="AP71" i="42"/>
  <c r="AT71" i="42" s="1"/>
  <c r="AT81" i="42"/>
  <c r="AH72" i="42"/>
  <c r="AI72" i="42" s="1"/>
  <c r="AP72" i="42"/>
  <c r="AT72" i="42" s="1"/>
  <c r="V82" i="42"/>
  <c r="AE82" i="42" s="1"/>
  <c r="AR82" i="42" s="1"/>
  <c r="U82" i="42"/>
  <c r="AD82" i="42" s="1"/>
  <c r="AQ82" i="42" s="1"/>
  <c r="T82" i="42"/>
  <c r="AC82" i="42" s="1"/>
  <c r="AP82" i="42" s="1"/>
  <c r="Q82" i="42"/>
  <c r="Z82" i="42" s="1"/>
  <c r="AM82" i="42" s="1"/>
  <c r="R82" i="42"/>
  <c r="AA82" i="42" s="1"/>
  <c r="AN82" i="42" s="1"/>
  <c r="S82" i="42"/>
  <c r="AB82" i="42" s="1"/>
  <c r="AO82" i="42" s="1"/>
  <c r="O82" i="42"/>
  <c r="X82" i="42" s="1"/>
  <c r="AK82" i="42" s="1"/>
  <c r="AT82" i="42" s="1"/>
  <c r="W82" i="42"/>
  <c r="AF82" i="42" s="1"/>
  <c r="AS82" i="42" s="1"/>
  <c r="P82" i="42"/>
  <c r="Y82" i="42" s="1"/>
  <c r="AL82" i="42" s="1"/>
  <c r="D43" i="39"/>
  <c r="E43" i="39"/>
  <c r="F43" i="39" s="1"/>
  <c r="N83" i="42"/>
  <c r="AH81" i="42"/>
  <c r="AI81" i="42" s="1"/>
  <c r="C44" i="39"/>
  <c r="S83" i="42" l="1"/>
  <c r="AB83" i="42" s="1"/>
  <c r="AO83" i="42" s="1"/>
  <c r="W83" i="42"/>
  <c r="AF83" i="42" s="1"/>
  <c r="AS83" i="42" s="1"/>
  <c r="V83" i="42"/>
  <c r="AE83" i="42" s="1"/>
  <c r="AR83" i="42" s="1"/>
  <c r="T83" i="42"/>
  <c r="AC83" i="42" s="1"/>
  <c r="AP83" i="42" s="1"/>
  <c r="O83" i="42"/>
  <c r="X83" i="42" s="1"/>
  <c r="AK83" i="42" s="1"/>
  <c r="Q83" i="42"/>
  <c r="Z83" i="42" s="1"/>
  <c r="AM83" i="42" s="1"/>
  <c r="R83" i="42"/>
  <c r="AA83" i="42" s="1"/>
  <c r="AN83" i="42" s="1"/>
  <c r="P83" i="42"/>
  <c r="Y83" i="42" s="1"/>
  <c r="AL83" i="42" s="1"/>
  <c r="U83" i="42"/>
  <c r="AD83" i="42" s="1"/>
  <c r="AQ83" i="42" s="1"/>
  <c r="E44" i="39"/>
  <c r="F44" i="39" s="1"/>
  <c r="D44" i="39"/>
  <c r="AH82" i="42"/>
  <c r="AI82" i="42" s="1"/>
  <c r="N84" i="42"/>
  <c r="C45" i="39"/>
  <c r="AT83" i="42" l="1"/>
  <c r="W84" i="42"/>
  <c r="AF84" i="42" s="1"/>
  <c r="AS84" i="42" s="1"/>
  <c r="S84" i="42"/>
  <c r="T84" i="42"/>
  <c r="AC84" i="42" s="1"/>
  <c r="AP84" i="42" s="1"/>
  <c r="O84" i="42"/>
  <c r="X84" i="42" s="1"/>
  <c r="AK84" i="42" s="1"/>
  <c r="Q84" i="42"/>
  <c r="Z84" i="42" s="1"/>
  <c r="AM84" i="42" s="1"/>
  <c r="R84" i="42"/>
  <c r="AA84" i="42" s="1"/>
  <c r="AN84" i="42" s="1"/>
  <c r="U84" i="42"/>
  <c r="AD84" i="42" s="1"/>
  <c r="AQ84" i="42" s="1"/>
  <c r="V84" i="42"/>
  <c r="AE84" i="42" s="1"/>
  <c r="AR84" i="42" s="1"/>
  <c r="P84" i="42"/>
  <c r="Y84" i="42" s="1"/>
  <c r="AL84" i="42" s="1"/>
  <c r="AB84" i="42"/>
  <c r="AO84" i="42" s="1"/>
  <c r="E45" i="39"/>
  <c r="F45" i="39" s="1"/>
  <c r="D45" i="39"/>
  <c r="AH83" i="42"/>
  <c r="AI83" i="42" s="1"/>
  <c r="D60" i="39"/>
  <c r="C46" i="39"/>
  <c r="AT84" i="42" l="1"/>
  <c r="E46" i="39"/>
  <c r="F46" i="39" s="1"/>
  <c r="D46" i="39"/>
  <c r="AH84" i="42"/>
  <c r="AI84" i="42" s="1"/>
  <c r="C47" i="39"/>
  <c r="E47" i="39" l="1"/>
  <c r="F47" i="39" s="1"/>
  <c r="D47" i="39"/>
  <c r="C48" i="39"/>
  <c r="E48" i="39" l="1"/>
  <c r="F48" i="39" s="1"/>
  <c r="D48" i="39"/>
  <c r="C49" i="39"/>
  <c r="E49" i="39" l="1"/>
  <c r="F49" i="39" s="1"/>
  <c r="D49" i="39"/>
  <c r="C50" i="39"/>
  <c r="E50" i="39" l="1"/>
  <c r="F50" i="39" s="1"/>
  <c r="D50" i="39"/>
  <c r="C51" i="39"/>
  <c r="D51" i="39" l="1"/>
  <c r="E51" i="39"/>
  <c r="F51" i="39" s="1"/>
  <c r="C52" i="39"/>
  <c r="E52" i="39" l="1"/>
  <c r="F52" i="39" s="1"/>
  <c r="D52" i="39"/>
  <c r="C53" i="39"/>
  <c r="E53" i="39" l="1"/>
  <c r="F53" i="39" s="1"/>
  <c r="D53" i="39"/>
  <c r="C54" i="39"/>
  <c r="E54" i="39" l="1"/>
  <c r="F54" i="39" s="1"/>
  <c r="D54" i="39"/>
  <c r="C55" i="39"/>
  <c r="D55" i="39" l="1"/>
  <c r="E55" i="39"/>
  <c r="F55" i="39" s="1"/>
  <c r="C56" i="39"/>
  <c r="E56" i="39" l="1"/>
  <c r="F56" i="39" s="1"/>
  <c r="D56" i="39"/>
  <c r="C57" i="39"/>
  <c r="E57" i="39" l="1"/>
  <c r="F57" i="39" s="1"/>
  <c r="D57" i="39"/>
  <c r="C58" i="39"/>
  <c r="E58" i="39" l="1"/>
  <c r="F58" i="39" s="1"/>
  <c r="D58" i="39"/>
  <c r="C59" i="39"/>
  <c r="J29" i="39" l="1"/>
  <c r="E59" i="39"/>
  <c r="F59" i="39" s="1"/>
  <c r="D59" i="39"/>
  <c r="K26" i="39"/>
  <c r="K29" i="39" l="1"/>
  <c r="L29" i="39"/>
  <c r="M29" i="39" s="1"/>
  <c r="J30" i="39"/>
  <c r="J28" i="39"/>
  <c r="L30" i="39" l="1"/>
  <c r="M30" i="39" s="1"/>
  <c r="K30" i="39"/>
  <c r="J31" i="39"/>
  <c r="J32" i="39" l="1"/>
  <c r="J33" i="39" s="1"/>
  <c r="K31" i="39"/>
  <c r="L31" i="39"/>
  <c r="M31" i="39" s="1"/>
  <c r="K33" i="39" l="1"/>
  <c r="L33" i="39"/>
  <c r="M33" i="39" s="1"/>
  <c r="L32" i="39"/>
  <c r="M32" i="39" s="1"/>
  <c r="K32" i="39"/>
  <c r="J34" i="39"/>
  <c r="L34" i="39" l="1"/>
  <c r="M34" i="39" s="1"/>
  <c r="K34" i="39"/>
  <c r="J35" i="39"/>
  <c r="K35" i="39" l="1"/>
  <c r="L35" i="39"/>
  <c r="M35" i="39" s="1"/>
  <c r="J36" i="39"/>
  <c r="L36" i="39" l="1"/>
  <c r="M36" i="39" s="1"/>
  <c r="K36" i="39"/>
  <c r="J37" i="39"/>
  <c r="K37" i="39" l="1"/>
  <c r="L37" i="39"/>
  <c r="M37" i="39" s="1"/>
  <c r="J38" i="39"/>
  <c r="L38" i="39" l="1"/>
  <c r="M38" i="39" s="1"/>
  <c r="K38" i="39"/>
  <c r="J39" i="39"/>
  <c r="K39" i="39" l="1"/>
  <c r="L39" i="39"/>
  <c r="M39" i="39" s="1"/>
  <c r="J40" i="39"/>
  <c r="L40" i="39" l="1"/>
  <c r="M40" i="39" s="1"/>
  <c r="K40" i="39"/>
  <c r="J41" i="39"/>
  <c r="K41" i="39" l="1"/>
  <c r="L41" i="39"/>
  <c r="M41" i="39" s="1"/>
  <c r="J42" i="39"/>
  <c r="L42" i="39" l="1"/>
  <c r="M42" i="39" s="1"/>
  <c r="K42" i="39"/>
  <c r="J43" i="39"/>
  <c r="K43" i="39" l="1"/>
  <c r="L43" i="39"/>
  <c r="M43" i="39" s="1"/>
  <c r="J44" i="39"/>
  <c r="L44" i="39" l="1"/>
  <c r="M44" i="39" s="1"/>
  <c r="K44" i="39"/>
  <c r="J45" i="39"/>
  <c r="K45" i="39" l="1"/>
  <c r="L45" i="39"/>
  <c r="M45" i="39" s="1"/>
  <c r="J46" i="39"/>
  <c r="L46" i="39" l="1"/>
  <c r="M46" i="39" s="1"/>
  <c r="K46" i="39"/>
  <c r="J47" i="39"/>
  <c r="J48" i="39" l="1"/>
  <c r="J49" i="39" s="1"/>
  <c r="L47" i="39"/>
  <c r="M47" i="39" s="1"/>
  <c r="K47" i="39"/>
  <c r="L49" i="39" l="1"/>
  <c r="M49" i="39" s="1"/>
  <c r="K49" i="39"/>
  <c r="L48" i="39"/>
  <c r="M48" i="39" s="1"/>
  <c r="K48" i="39"/>
  <c r="J50" i="39"/>
  <c r="L50" i="39" l="1"/>
  <c r="M50" i="39" s="1"/>
  <c r="K50" i="39"/>
  <c r="J51" i="39"/>
  <c r="L51" i="39" l="1"/>
  <c r="M51" i="39" s="1"/>
  <c r="K51" i="39"/>
  <c r="J52" i="39"/>
  <c r="L52" i="39" l="1"/>
  <c r="M52" i="39" s="1"/>
  <c r="K52" i="39"/>
  <c r="J53" i="39"/>
  <c r="K53" i="39" l="1"/>
  <c r="L53" i="39"/>
  <c r="M53" i="39" s="1"/>
  <c r="J54" i="39"/>
  <c r="L54" i="39" l="1"/>
  <c r="M54" i="39" s="1"/>
  <c r="K54" i="39"/>
  <c r="J55" i="39"/>
  <c r="L55" i="39" l="1"/>
  <c r="M55" i="39" s="1"/>
  <c r="K55" i="39"/>
  <c r="J56" i="39"/>
  <c r="L56" i="39" l="1"/>
  <c r="M56" i="39" s="1"/>
  <c r="K56" i="39"/>
  <c r="J57" i="39"/>
  <c r="L57" i="39" l="1"/>
  <c r="M57" i="39" s="1"/>
  <c r="K57" i="39"/>
  <c r="J58" i="39"/>
  <c r="K28" i="39"/>
  <c r="L58" i="39" l="1"/>
  <c r="M58" i="39" s="1"/>
  <c r="K58" i="39"/>
  <c r="J59" i="39"/>
  <c r="L59" i="39" l="1"/>
  <c r="M59" i="39" s="1"/>
  <c r="K59" i="39"/>
  <c r="J60" i="39"/>
  <c r="L28" i="39"/>
  <c r="L60" i="39" l="1"/>
  <c r="AH4" i="42"/>
  <c r="E30" i="39" l="1"/>
  <c r="F30" i="39" s="1"/>
  <c r="AI4" i="42"/>
</calcChain>
</file>

<file path=xl/comments1.xml><?xml version="1.0" encoding="utf-8"?>
<comments xmlns="http://schemas.openxmlformats.org/spreadsheetml/2006/main">
  <authors>
    <author>Adriana Lucia Castro Cardona</author>
  </authors>
  <commentList>
    <comment ref="O1" authorId="0">
      <text>
        <r>
          <rPr>
            <b/>
            <sz val="8"/>
            <color indexed="81"/>
            <rFont val="Tahoma"/>
            <family val="2"/>
          </rPr>
          <t>Auxilio fun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Enfermedades: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<sst xmlns="http://schemas.openxmlformats.org/spreadsheetml/2006/main" count="147" uniqueCount="82">
  <si>
    <t>Edad</t>
  </si>
  <si>
    <t>Paquete</t>
  </si>
  <si>
    <t>Propuesta presentada a:</t>
  </si>
  <si>
    <t>Edad inicial</t>
  </si>
  <si>
    <t>Crecimiento Anual</t>
  </si>
  <si>
    <t>Temporalidad</t>
  </si>
  <si>
    <t>CLAVE:</t>
  </si>
  <si>
    <t/>
  </si>
  <si>
    <t>ASEGURADO:</t>
  </si>
  <si>
    <t>Genero</t>
  </si>
  <si>
    <t>Crecimiento</t>
  </si>
  <si>
    <t>VA Muerte</t>
  </si>
  <si>
    <t>Término:</t>
  </si>
  <si>
    <t xml:space="preserve">Fecha Cotización: </t>
  </si>
  <si>
    <t xml:space="preserve">Desde las 0:00 Horas del  </t>
  </si>
  <si>
    <t xml:space="preserve">hasta las 24:00 Horas del </t>
  </si>
  <si>
    <t>Importes expresados en PESO COLOMBIANO.</t>
  </si>
  <si>
    <t xml:space="preserve">Edad Inicial: </t>
  </si>
  <si>
    <t>Año</t>
  </si>
  <si>
    <t>Esta liquidación provisional no implica aceptación del riesgo, está sujeta a estudio y aprobación que sea del caso.
Ha sido elaborada con base a los datos facilitados por el cliente y las primas calculadas según las tarifas vigentes en el día de su elaboración, constituyendo únicamente un estudio informativo, SIN VALIDEZ CONTRACTUAL y condicionado a que todos los antecedentes indicados se mantengan y sean contratados. 
La vigencia de esta cotización es de 30 días calendario, contados a partir de la fecha de generación de esta.</t>
  </si>
  <si>
    <t xml:space="preserve">Si </t>
  </si>
  <si>
    <t>No</t>
  </si>
  <si>
    <t xml:space="preserve">1 año </t>
  </si>
  <si>
    <t>Fraccionamiento</t>
  </si>
  <si>
    <t>Mensual</t>
  </si>
  <si>
    <t>Trimestral</t>
  </si>
  <si>
    <t>Semestral</t>
  </si>
  <si>
    <t>FRACCION</t>
  </si>
  <si>
    <t xml:space="preserve">  Tel </t>
  </si>
  <si>
    <t>Incremento Anual del Valor Asegurado:</t>
  </si>
  <si>
    <t>PRIMA COMERCIAL ANUAL</t>
  </si>
  <si>
    <t>Coberturas Básicas</t>
  </si>
  <si>
    <t>Auxilio funerario</t>
  </si>
  <si>
    <t>Prima Total</t>
  </si>
  <si>
    <t>Valor Asegurado</t>
  </si>
  <si>
    <t>Edad Inicial</t>
  </si>
  <si>
    <t>PRIMAS</t>
  </si>
  <si>
    <t>COBERTURAS</t>
  </si>
  <si>
    <t>*Favor diligencie los campos resaltados</t>
  </si>
  <si>
    <t>Período:</t>
  </si>
  <si>
    <t>*</t>
  </si>
  <si>
    <t>Género</t>
  </si>
  <si>
    <t>Fallecimiento</t>
  </si>
  <si>
    <t>Indemnización por Fallecimiento Accidental</t>
  </si>
  <si>
    <t>ITP y/o Beneficios por desmembración o inutilización por enfermedad o Accidente</t>
  </si>
  <si>
    <t>Enfermedades Graves</t>
  </si>
  <si>
    <t xml:space="preserve">Renta diaria por hospitalización y Renta diaria por Incapacidad Temporal Por accidente
</t>
  </si>
  <si>
    <t>Coberturas contratadas</t>
  </si>
  <si>
    <t>IMA</t>
  </si>
  <si>
    <t>Valor Aritmetico</t>
  </si>
  <si>
    <t>ITP</t>
  </si>
  <si>
    <t>EG</t>
  </si>
  <si>
    <t>Muerte accidental</t>
  </si>
  <si>
    <t xml:space="preserve">Edad </t>
  </si>
  <si>
    <t>qx</t>
  </si>
  <si>
    <t>qy</t>
  </si>
  <si>
    <t>Bienestar y Salud</t>
  </si>
  <si>
    <t>Adulto Mayor</t>
  </si>
  <si>
    <t>Multifamiliar</t>
  </si>
  <si>
    <t>Incapcidad; inutilizacion o desmembración</t>
  </si>
  <si>
    <t>Si</t>
  </si>
  <si>
    <t>Masculino</t>
  </si>
  <si>
    <t>Femenino</t>
  </si>
  <si>
    <t>Renta diaria</t>
  </si>
  <si>
    <t>Bienestar y salud</t>
  </si>
  <si>
    <t>Indemnizacion Fallecimieno Accidental</t>
  </si>
  <si>
    <t>Incapacidad, Inutilización ó Desmembración</t>
  </si>
  <si>
    <t>Salud y Bienestar</t>
  </si>
  <si>
    <t>VALOR ASEGURADO INICIAL FALLECIMIENTO</t>
  </si>
  <si>
    <t>Coberturas Básicas Cotizadas Año 1</t>
  </si>
  <si>
    <t>Incapacidad, Inutilización ó Desmemb.</t>
  </si>
  <si>
    <t>Por favor tenga en cuenta que el valor asegurado crece anualmente  el porcentaje seleccionado sobre el valor asegurado inicial de los amparos.</t>
  </si>
  <si>
    <r>
      <rPr>
        <b/>
        <i/>
        <sz val="22"/>
        <color theme="3"/>
        <rFont val="Arial"/>
        <family val="2"/>
      </rPr>
      <t>Bienvenido a Allianz Vida</t>
    </r>
    <r>
      <rPr>
        <b/>
        <i/>
        <sz val="22"/>
        <color rgb="FF7030A0"/>
        <rFont val="Arial"/>
        <family val="2"/>
      </rPr>
      <t xml:space="preserve"> </t>
    </r>
    <r>
      <rPr>
        <b/>
        <i/>
        <sz val="22"/>
        <color theme="3"/>
        <rFont val="Arial"/>
        <family val="2"/>
      </rPr>
      <t>Individual</t>
    </r>
    <r>
      <rPr>
        <b/>
        <i/>
        <sz val="22"/>
        <color rgb="FF7030A0"/>
        <rFont val="Arial"/>
        <family val="2"/>
      </rPr>
      <t xml:space="preserve">
</t>
    </r>
    <r>
      <rPr>
        <b/>
        <i/>
        <sz val="28"/>
        <color rgb="FF9900FF"/>
        <rFont val="Arial"/>
        <family val="2"/>
      </rPr>
      <t>Vida ActuAll</t>
    </r>
  </si>
  <si>
    <t>Ingreso mensual</t>
  </si>
  <si>
    <t xml:space="preserve">Renta diaria por hospitalización y por Incapacidad Temporal por accidente
</t>
  </si>
  <si>
    <t>Bienestar &amp; Salud</t>
  </si>
  <si>
    <t>Valor asegurado Fallecimiento</t>
  </si>
  <si>
    <t>EnFermedades Graves</t>
  </si>
  <si>
    <t>Renta Diaria por hospitalización ó incapacidad temporal por accidente</t>
  </si>
  <si>
    <t>Auxilio por Fallecimiento</t>
  </si>
  <si>
    <t>Con dcto 40% Primer año</t>
  </si>
  <si>
    <t>Con Extraprimas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</si>
</sst>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2" formatCode="_(&quot;$&quot;\ * #,##0_);_(&quot;$&quot;\ * \(#,##0\);_(&quot;$&quot;\ * &quot;-&quot;_);_(@_)"/>
    <numFmt numFmtId="43" formatCode="_(* #,##0.00_);_(* \(#,##0.00\);_(* &quot;-&quot;??_);_(@_)"/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_ * #,##0_ ;_ * \-#,##0_ ;_ * &quot;-&quot;??_ ;_ @_ "/>
    <numFmt numFmtId="167" formatCode="_ [$€-2]\ * #,##0.00_ ;_ [$€-2]\ * \-#,##0.00_ ;_ [$€-2]\ * &quot;-&quot;??_ "/>
    <numFmt numFmtId="168" formatCode="_(* #,##0_);_(* \(#,##0\);_(* &quot;-&quot;??_);_(@_)"/>
    <numFmt numFmtId="169" formatCode="&quot;$&quot;\ #,##0"/>
    <numFmt numFmtId="170" formatCode="_(* #,##0.000000_);_(* \(#,##0.000000\);_(* &quot;-&quot;??_);_(@_)"/>
    <numFmt numFmtId="171" formatCode="_(* #,##0_);_(* \(#,##0\);_(* &quot;-&quot;????_);_(@_)"/>
  </numFmts>
  <fonts count="75">
    <font>
      <sz val="10"/>
      <name val="Tahom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b/>
      <sz val="14"/>
      <color indexed="9"/>
      <name val="Arial"/>
      <family val="2"/>
    </font>
    <font>
      <b/>
      <sz val="10"/>
      <color indexed="9"/>
      <name val="Calibri"/>
      <family val="2"/>
    </font>
    <font>
      <sz val="10"/>
      <name val="Helv"/>
      <charset val="204"/>
    </font>
    <font>
      <sz val="10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rgb="FF0041A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3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3"/>
      <name val="Calibri"/>
      <family val="2"/>
    </font>
    <font>
      <sz val="10"/>
      <color theme="3"/>
      <name val="Calibri"/>
      <family val="2"/>
    </font>
    <font>
      <b/>
      <sz val="9"/>
      <color theme="3"/>
      <name val="Calibri"/>
      <family val="2"/>
    </font>
    <font>
      <b/>
      <sz val="9"/>
      <color indexed="18"/>
      <name val="Arial"/>
      <family val="2"/>
    </font>
    <font>
      <sz val="10"/>
      <name val="Tahoma"/>
      <family val="2"/>
    </font>
    <font>
      <sz val="12"/>
      <color rgb="FF0041A1"/>
      <name val="Calibri"/>
      <family val="2"/>
      <scheme val="minor"/>
    </font>
    <font>
      <sz val="10"/>
      <color theme="0"/>
      <name val="Tahoma"/>
      <family val="2"/>
    </font>
    <font>
      <b/>
      <sz val="10"/>
      <name val="Tahoma"/>
      <family val="2"/>
    </font>
    <font>
      <b/>
      <sz val="13"/>
      <color rgb="FF7030A0"/>
      <name val="Calibri"/>
      <family val="2"/>
      <scheme val="minor"/>
    </font>
    <font>
      <sz val="11"/>
      <color rgb="FFFF0000"/>
      <name val="Calibri"/>
      <family val="2"/>
    </font>
    <font>
      <sz val="10"/>
      <color theme="3"/>
      <name val="Tahoma"/>
      <family val="2"/>
    </font>
    <font>
      <b/>
      <sz val="10"/>
      <color theme="3"/>
      <name val="Tahoma"/>
      <family val="2"/>
    </font>
    <font>
      <b/>
      <i/>
      <sz val="22"/>
      <color theme="3"/>
      <name val="Arial"/>
      <family val="2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22"/>
      <color rgb="FF7030A0"/>
      <name val="Arial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indexed="9"/>
      <name val="Calibri"/>
      <family val="2"/>
    </font>
    <font>
      <b/>
      <i/>
      <sz val="28"/>
      <color rgb="FF9900FF"/>
      <name val="Arial"/>
      <family val="2"/>
    </font>
    <font>
      <b/>
      <sz val="11"/>
      <color rgb="FF00206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rgb="FF0041A1"/>
      <name val="Calibri"/>
      <family val="2"/>
      <scheme val="minor"/>
    </font>
    <font>
      <b/>
      <sz val="14"/>
      <color rgb="FF9900FF"/>
      <name val="Calibri"/>
      <family val="2"/>
      <scheme val="minor"/>
    </font>
    <font>
      <b/>
      <sz val="13"/>
      <color rgb="FF0041A1"/>
      <name val="Calibri"/>
      <family val="2"/>
      <scheme val="minor"/>
    </font>
    <font>
      <sz val="13"/>
      <color rgb="FF0041A1"/>
      <name val="Calibri"/>
      <family val="2"/>
      <scheme val="minor"/>
    </font>
    <font>
      <b/>
      <sz val="13"/>
      <color rgb="FF002060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1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9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9900FF"/>
        <bgColor indexed="9"/>
      </patternFill>
    </fill>
    <fill>
      <patternFill patternType="solid">
        <fgColor rgb="FFC00000"/>
        <bgColor indexed="64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theme="3" tint="0.79998168889431442"/>
      </left>
      <right style="double">
        <color theme="3" tint="0.79998168889431442"/>
      </right>
      <top/>
      <bottom style="double">
        <color theme="3" tint="0.79998168889431442"/>
      </bottom>
      <diagonal/>
    </border>
    <border>
      <left style="double">
        <color theme="3" tint="0.79998168889431442"/>
      </left>
      <right style="double">
        <color theme="3" tint="0.79998168889431442"/>
      </right>
      <top style="double">
        <color theme="3" tint="0.79998168889431442"/>
      </top>
      <bottom style="double">
        <color theme="3" tint="0.79998168889431442"/>
      </bottom>
      <diagonal/>
    </border>
    <border>
      <left style="double">
        <color theme="3" tint="0.79998168889431442"/>
      </left>
      <right style="thin">
        <color indexed="64"/>
      </right>
      <top style="double">
        <color theme="3" tint="0.79998168889431442"/>
      </top>
      <bottom style="double">
        <color theme="3" tint="0.79998168889431442"/>
      </bottom>
      <diagonal/>
    </border>
    <border>
      <left style="thin">
        <color indexed="64"/>
      </left>
      <right style="thin">
        <color indexed="64"/>
      </right>
      <top style="double">
        <color theme="3" tint="0.79998168889431442"/>
      </top>
      <bottom style="double">
        <color theme="3" tint="0.79998168889431442"/>
      </bottom>
      <diagonal/>
    </border>
    <border>
      <left style="thin">
        <color indexed="64"/>
      </left>
      <right/>
      <top style="double">
        <color theme="3" tint="0.79998168889431442"/>
      </top>
      <bottom style="double">
        <color theme="3" tint="0.79998168889431442"/>
      </bottom>
      <diagonal/>
    </border>
    <border>
      <left style="double">
        <color theme="4" tint="0.59996337778862885"/>
      </left>
      <right style="double">
        <color theme="4" tint="0.59996337778862885"/>
      </right>
      <top style="double">
        <color theme="4" tint="0.59996337778862885"/>
      </top>
      <bottom style="double">
        <color theme="4" tint="0.59996337778862885"/>
      </bottom>
      <diagonal/>
    </border>
    <border>
      <left style="double">
        <color theme="2"/>
      </left>
      <right style="double">
        <color theme="2"/>
      </right>
      <top style="double">
        <color theme="2"/>
      </top>
      <bottom style="double">
        <color theme="2"/>
      </bottom>
      <diagonal/>
    </border>
    <border>
      <left style="double">
        <color theme="2"/>
      </left>
      <right/>
      <top style="double">
        <color theme="2"/>
      </top>
      <bottom style="double">
        <color theme="2"/>
      </bottom>
      <diagonal/>
    </border>
    <border>
      <left/>
      <right style="double">
        <color theme="2"/>
      </right>
      <top style="double">
        <color theme="2"/>
      </top>
      <bottom style="double">
        <color theme="2"/>
      </bottom>
      <diagonal/>
    </border>
    <border>
      <left style="double">
        <color theme="4" tint="0.79995117038483843"/>
      </left>
      <right/>
      <top/>
      <bottom/>
      <diagonal/>
    </border>
    <border>
      <left style="double">
        <color theme="4" tint="0.79998168889431442"/>
      </left>
      <right/>
      <top style="double">
        <color theme="4" tint="0.79998168889431442"/>
      </top>
      <bottom style="double">
        <color theme="4" tint="0.79998168889431442"/>
      </bottom>
      <diagonal/>
    </border>
    <border>
      <left style="double">
        <color theme="4" tint="0.79995117038483843"/>
      </left>
      <right style="double">
        <color theme="4" tint="0.79998168889431442"/>
      </right>
      <top style="double">
        <color theme="4" tint="0.79998168889431442"/>
      </top>
      <bottom style="double">
        <color theme="4" tint="0.79998168889431442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4" tint="0.79995117038483843"/>
      </left>
      <right style="double">
        <color theme="4" tint="0.79998168889431442"/>
      </right>
      <top/>
      <bottom style="double">
        <color theme="4" tint="0.79998168889431442"/>
      </bottom>
      <diagonal/>
    </border>
  </borders>
  <cellStyleXfs count="55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10" fillId="4" borderId="0" applyNumberFormat="0" applyBorder="0" applyAlignment="0" applyProtection="0"/>
    <xf numFmtId="0" fontId="11" fillId="16" borderId="1" applyNumberFormat="0" applyAlignment="0" applyProtection="0"/>
    <xf numFmtId="0" fontId="12" fillId="17" borderId="2" applyNumberFormat="0" applyAlignment="0" applyProtection="0"/>
    <xf numFmtId="0" fontId="13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21" borderId="0" applyNumberFormat="0" applyBorder="0" applyAlignment="0" applyProtection="0"/>
    <xf numFmtId="0" fontId="15" fillId="7" borderId="1" applyNumberFormat="0" applyAlignment="0" applyProtection="0"/>
    <xf numFmtId="0" fontId="29" fillId="0" borderId="0"/>
    <xf numFmtId="167" fontId="6" fillId="0" borderId="0" applyFont="0" applyFill="0" applyBorder="0" applyAlignment="0" applyProtection="0"/>
    <xf numFmtId="0" fontId="16" fillId="3" borderId="0" applyNumberFormat="0" applyBorder="0" applyAlignment="0" applyProtection="0"/>
    <xf numFmtId="43" fontId="8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7" fillId="22" borderId="0" applyNumberFormat="0" applyBorder="0" applyAlignment="0" applyProtection="0"/>
    <xf numFmtId="0" fontId="33" fillId="0" borderId="0"/>
    <xf numFmtId="0" fontId="7" fillId="0" borderId="0"/>
    <xf numFmtId="0" fontId="6" fillId="23" borderId="4" applyNumberFormat="0" applyFont="0" applyAlignment="0" applyProtection="0"/>
    <xf numFmtId="9" fontId="8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8" fillId="16" borderId="5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14" fillId="0" borderId="8" applyNumberFormat="0" applyFill="0" applyAlignment="0" applyProtection="0"/>
    <xf numFmtId="0" fontId="24" fillId="0" borderId="9" applyNumberFormat="0" applyFill="0" applyAlignment="0" applyProtection="0"/>
    <xf numFmtId="43" fontId="46" fillId="0" borderId="0" applyFont="0" applyFill="0" applyBorder="0" applyAlignment="0" applyProtection="0"/>
  </cellStyleXfs>
  <cellXfs count="159">
    <xf numFmtId="0" fontId="0" fillId="0" borderId="0" xfId="0"/>
    <xf numFmtId="3" fontId="0" fillId="0" borderId="0" xfId="0" applyNumberFormat="1"/>
    <xf numFmtId="0" fontId="7" fillId="0" borderId="0" xfId="0" applyFont="1"/>
    <xf numFmtId="0" fontId="33" fillId="27" borderId="0" xfId="40" applyFill="1" applyProtection="1">
      <protection hidden="1"/>
    </xf>
    <xf numFmtId="0" fontId="33" fillId="0" borderId="0" xfId="40" applyProtection="1">
      <protection hidden="1"/>
    </xf>
    <xf numFmtId="9" fontId="33" fillId="0" borderId="0" xfId="40" applyNumberFormat="1" applyProtection="1">
      <protection hidden="1"/>
    </xf>
    <xf numFmtId="0" fontId="34" fillId="0" borderId="0" xfId="40" applyFont="1" applyProtection="1">
      <protection hidden="1"/>
    </xf>
    <xf numFmtId="0" fontId="33" fillId="0" borderId="0" xfId="40" applyFill="1" applyProtection="1">
      <protection hidden="1"/>
    </xf>
    <xf numFmtId="0" fontId="24" fillId="0" borderId="0" xfId="40" applyFont="1" applyAlignment="1" applyProtection="1">
      <alignment horizontal="right"/>
      <protection hidden="1"/>
    </xf>
    <xf numFmtId="0" fontId="33" fillId="0" borderId="0" xfId="40" applyProtection="1">
      <protection locked="0" hidden="1"/>
    </xf>
    <xf numFmtId="168" fontId="25" fillId="24" borderId="10" xfId="34" applyNumberFormat="1" applyFont="1" applyFill="1" applyBorder="1" applyAlignment="1" applyProtection="1">
      <alignment horizontal="center"/>
      <protection hidden="1"/>
    </xf>
    <xf numFmtId="4" fontId="33" fillId="0" borderId="0" xfId="40" applyNumberFormat="1" applyProtection="1">
      <protection hidden="1"/>
    </xf>
    <xf numFmtId="0" fontId="33" fillId="25" borderId="0" xfId="40" applyFill="1" applyProtection="1">
      <protection hidden="1"/>
    </xf>
    <xf numFmtId="0" fontId="27" fillId="0" borderId="0" xfId="40" applyFont="1" applyBorder="1" applyAlignment="1" applyProtection="1">
      <alignment horizontal="center"/>
      <protection hidden="1"/>
    </xf>
    <xf numFmtId="0" fontId="35" fillId="0" borderId="0" xfId="40" applyFont="1" applyProtection="1">
      <protection hidden="1"/>
    </xf>
    <xf numFmtId="0" fontId="36" fillId="26" borderId="10" xfId="40" applyFont="1" applyFill="1" applyBorder="1" applyProtection="1">
      <protection hidden="1"/>
    </xf>
    <xf numFmtId="168" fontId="25" fillId="24" borderId="10" xfId="34" applyNumberFormat="1" applyFont="1" applyFill="1" applyBorder="1" applyAlignment="1" applyProtection="1">
      <alignment horizontal="center"/>
      <protection locked="0" hidden="1"/>
    </xf>
    <xf numFmtId="0" fontId="37" fillId="0" borderId="0" xfId="40" applyFont="1" applyProtection="1">
      <protection hidden="1"/>
    </xf>
    <xf numFmtId="0" fontId="25" fillId="24" borderId="10" xfId="40" applyFont="1" applyFill="1" applyBorder="1" applyAlignment="1" applyProtection="1">
      <alignment horizontal="right"/>
      <protection locked="0" hidden="1"/>
    </xf>
    <xf numFmtId="0" fontId="38" fillId="0" borderId="0" xfId="40" applyFont="1" applyProtection="1">
      <protection hidden="1"/>
    </xf>
    <xf numFmtId="0" fontId="25" fillId="24" borderId="10" xfId="40" applyFont="1" applyFill="1" applyBorder="1" applyProtection="1">
      <protection locked="0" hidden="1"/>
    </xf>
    <xf numFmtId="9" fontId="25" fillId="24" borderId="10" xfId="43" applyNumberFormat="1" applyFont="1" applyFill="1" applyBorder="1" applyProtection="1">
      <protection locked="0" hidden="1"/>
    </xf>
    <xf numFmtId="168" fontId="25" fillId="24" borderId="10" xfId="34" applyNumberFormat="1" applyFont="1" applyFill="1" applyBorder="1" applyProtection="1">
      <protection locked="0" hidden="1"/>
    </xf>
    <xf numFmtId="0" fontId="33" fillId="0" borderId="0" xfId="40" applyBorder="1" applyProtection="1">
      <protection hidden="1"/>
    </xf>
    <xf numFmtId="0" fontId="35" fillId="0" borderId="0" xfId="40" applyFont="1" applyBorder="1" applyProtection="1">
      <protection hidden="1"/>
    </xf>
    <xf numFmtId="0" fontId="35" fillId="25" borderId="0" xfId="40" applyFont="1" applyFill="1" applyProtection="1">
      <protection hidden="1"/>
    </xf>
    <xf numFmtId="0" fontId="24" fillId="25" borderId="0" xfId="40" applyFont="1" applyFill="1" applyProtection="1">
      <protection hidden="1"/>
    </xf>
    <xf numFmtId="0" fontId="33" fillId="25" borderId="0" xfId="40" applyFill="1" applyAlignment="1" applyProtection="1">
      <alignment horizontal="center" vertical="center"/>
      <protection hidden="1"/>
    </xf>
    <xf numFmtId="9" fontId="33" fillId="25" borderId="0" xfId="40" applyNumberFormat="1" applyFill="1" applyAlignment="1" applyProtection="1">
      <alignment horizontal="right"/>
      <protection hidden="1"/>
    </xf>
    <xf numFmtId="0" fontId="33" fillId="25" borderId="0" xfId="40" applyFill="1" applyAlignment="1" applyProtection="1">
      <protection hidden="1"/>
    </xf>
    <xf numFmtId="0" fontId="9" fillId="25" borderId="0" xfId="40" applyFont="1" applyFill="1" applyProtection="1">
      <protection hidden="1"/>
    </xf>
    <xf numFmtId="0" fontId="33" fillId="25" borderId="0" xfId="40" applyFill="1" applyBorder="1" applyProtection="1">
      <protection hidden="1"/>
    </xf>
    <xf numFmtId="0" fontId="33" fillId="25" borderId="0" xfId="40" applyFill="1" applyAlignment="1" applyProtection="1">
      <alignment vertical="top"/>
      <protection hidden="1"/>
    </xf>
    <xf numFmtId="0" fontId="39" fillId="25" borderId="0" xfId="40" applyFont="1" applyFill="1" applyAlignment="1" applyProtection="1">
      <alignment vertical="top"/>
      <protection hidden="1"/>
    </xf>
    <xf numFmtId="0" fontId="33" fillId="0" borderId="0" xfId="40" applyAlignment="1" applyProtection="1">
      <alignment vertical="top"/>
      <protection hidden="1"/>
    </xf>
    <xf numFmtId="169" fontId="33" fillId="25" borderId="0" xfId="40" applyNumberFormat="1" applyFill="1" applyAlignment="1" applyProtection="1">
      <alignment horizontal="left"/>
      <protection hidden="1"/>
    </xf>
    <xf numFmtId="166" fontId="35" fillId="25" borderId="0" xfId="35" applyNumberFormat="1" applyFont="1" applyFill="1" applyAlignment="1" applyProtection="1">
      <alignment horizontal="left"/>
      <protection hidden="1"/>
    </xf>
    <xf numFmtId="169" fontId="40" fillId="26" borderId="0" xfId="34" applyNumberFormat="1" applyFont="1" applyFill="1" applyBorder="1" applyAlignment="1" applyProtection="1">
      <alignment readingOrder="1"/>
      <protection hidden="1"/>
    </xf>
    <xf numFmtId="3" fontId="33" fillId="0" borderId="11" xfId="40" applyNumberFormat="1" applyBorder="1" applyProtection="1">
      <protection hidden="1"/>
    </xf>
    <xf numFmtId="3" fontId="33" fillId="0" borderId="12" xfId="40" applyNumberFormat="1" applyBorder="1" applyProtection="1">
      <protection hidden="1"/>
    </xf>
    <xf numFmtId="3" fontId="33" fillId="0" borderId="10" xfId="40" applyNumberFormat="1" applyBorder="1" applyProtection="1">
      <protection hidden="1"/>
    </xf>
    <xf numFmtId="3" fontId="33" fillId="0" borderId="13" xfId="40" applyNumberFormat="1" applyBorder="1" applyProtection="1">
      <protection hidden="1"/>
    </xf>
    <xf numFmtId="0" fontId="33" fillId="0" borderId="13" xfId="40" applyBorder="1" applyProtection="1">
      <protection hidden="1"/>
    </xf>
    <xf numFmtId="3" fontId="33" fillId="0" borderId="0" xfId="40" applyNumberFormat="1" applyBorder="1" applyProtection="1">
      <protection hidden="1"/>
    </xf>
    <xf numFmtId="3" fontId="33" fillId="0" borderId="0" xfId="40" applyNumberFormat="1" applyFill="1" applyBorder="1" applyProtection="1">
      <protection hidden="1"/>
    </xf>
    <xf numFmtId="0" fontId="9" fillId="25" borderId="0" xfId="40" applyFont="1" applyFill="1" applyBorder="1" applyProtection="1">
      <protection hidden="1"/>
    </xf>
    <xf numFmtId="3" fontId="33" fillId="25" borderId="0" xfId="40" applyNumberFormat="1" applyFill="1" applyProtection="1">
      <protection hidden="1"/>
    </xf>
    <xf numFmtId="0" fontId="33" fillId="25" borderId="0" xfId="40" applyFill="1" applyAlignment="1" applyProtection="1">
      <alignment horizontal="right"/>
      <protection hidden="1"/>
    </xf>
    <xf numFmtId="14" fontId="33" fillId="25" borderId="0" xfId="40" applyNumberFormat="1" applyFill="1" applyAlignment="1" applyProtection="1">
      <protection hidden="1"/>
    </xf>
    <xf numFmtId="0" fontId="33" fillId="25" borderId="0" xfId="40" applyFill="1" applyAlignment="1" applyProtection="1">
      <alignment vertical="center"/>
      <protection hidden="1"/>
    </xf>
    <xf numFmtId="0" fontId="41" fillId="25" borderId="0" xfId="40" applyFont="1" applyFill="1" applyProtection="1">
      <protection hidden="1"/>
    </xf>
    <xf numFmtId="0" fontId="42" fillId="26" borderId="10" xfId="40" applyFont="1" applyFill="1" applyBorder="1" applyProtection="1">
      <protection hidden="1"/>
    </xf>
    <xf numFmtId="37" fontId="43" fillId="26" borderId="10" xfId="34" applyNumberFormat="1" applyFont="1" applyFill="1" applyBorder="1" applyProtection="1">
      <protection hidden="1"/>
    </xf>
    <xf numFmtId="169" fontId="40" fillId="0" borderId="0" xfId="34" applyNumberFormat="1" applyFont="1" applyFill="1" applyBorder="1" applyAlignment="1" applyProtection="1">
      <alignment readingOrder="1"/>
      <protection hidden="1"/>
    </xf>
    <xf numFmtId="0" fontId="24" fillId="25" borderId="0" xfId="40" applyFont="1" applyFill="1" applyAlignment="1" applyProtection="1">
      <alignment horizontal="right"/>
      <protection hidden="1"/>
    </xf>
    <xf numFmtId="0" fontId="5" fillId="25" borderId="0" xfId="40" applyFont="1" applyFill="1" applyProtection="1">
      <protection hidden="1"/>
    </xf>
    <xf numFmtId="0" fontId="4" fillId="0" borderId="0" xfId="40" applyFont="1" applyAlignment="1" applyProtection="1">
      <alignment horizontal="right"/>
      <protection hidden="1"/>
    </xf>
    <xf numFmtId="43" fontId="33" fillId="0" borderId="0" xfId="54" applyFont="1" applyProtection="1">
      <protection hidden="1"/>
    </xf>
    <xf numFmtId="170" fontId="33" fillId="0" borderId="0" xfId="40" applyNumberFormat="1" applyProtection="1">
      <protection hidden="1"/>
    </xf>
    <xf numFmtId="0" fontId="12" fillId="30" borderId="0" xfId="40" applyFont="1" applyFill="1" applyBorder="1" applyAlignment="1" applyProtection="1">
      <alignment horizontal="center" vertical="center" wrapText="1" readingOrder="1"/>
      <protection hidden="1"/>
    </xf>
    <xf numFmtId="168" fontId="0" fillId="0" borderId="0" xfId="54" applyNumberFormat="1" applyFont="1"/>
    <xf numFmtId="0" fontId="49" fillId="0" borderId="0" xfId="0" applyFont="1"/>
    <xf numFmtId="0" fontId="34" fillId="31" borderId="0" xfId="40" applyFont="1" applyFill="1" applyProtection="1">
      <protection hidden="1"/>
    </xf>
    <xf numFmtId="0" fontId="4" fillId="31" borderId="0" xfId="40" applyFont="1" applyFill="1" applyAlignment="1" applyProtection="1">
      <alignment horizontal="right"/>
      <protection locked="0"/>
    </xf>
    <xf numFmtId="0" fontId="34" fillId="0" borderId="0" xfId="40" applyFont="1" applyFill="1" applyProtection="1">
      <protection hidden="1"/>
    </xf>
    <xf numFmtId="169" fontId="51" fillId="0" borderId="0" xfId="40" applyNumberFormat="1" applyFont="1" applyAlignment="1" applyProtection="1">
      <alignment horizontal="right"/>
      <protection locked="0"/>
    </xf>
    <xf numFmtId="0" fontId="33" fillId="0" borderId="15" xfId="40" applyBorder="1" applyAlignment="1" applyProtection="1">
      <protection hidden="1"/>
    </xf>
    <xf numFmtId="0" fontId="33" fillId="0" borderId="16" xfId="40" applyBorder="1" applyAlignment="1" applyProtection="1">
      <protection hidden="1"/>
    </xf>
    <xf numFmtId="0" fontId="33" fillId="0" borderId="0" xfId="40" applyBorder="1" applyAlignment="1" applyProtection="1">
      <protection hidden="1"/>
    </xf>
    <xf numFmtId="0" fontId="3" fillId="0" borderId="0" xfId="40" applyFont="1" applyBorder="1" applyAlignment="1" applyProtection="1">
      <protection hidden="1"/>
    </xf>
    <xf numFmtId="168" fontId="7" fillId="0" borderId="0" xfId="54" applyNumberFormat="1" applyFont="1" applyFill="1" applyBorder="1"/>
    <xf numFmtId="9" fontId="0" fillId="0" borderId="0" xfId="0" applyNumberFormat="1"/>
    <xf numFmtId="171" fontId="0" fillId="0" borderId="0" xfId="0" applyNumberFormat="1"/>
    <xf numFmtId="3" fontId="7" fillId="33" borderId="0" xfId="0" applyNumberFormat="1" applyFont="1" applyFill="1"/>
    <xf numFmtId="3" fontId="0" fillId="33" borderId="0" xfId="0" applyNumberFormat="1" applyFill="1"/>
    <xf numFmtId="3" fontId="0" fillId="33" borderId="0" xfId="0" applyNumberFormat="1" applyFont="1" applyFill="1"/>
    <xf numFmtId="3" fontId="53" fillId="34" borderId="0" xfId="0" applyNumberFormat="1" applyFont="1" applyFill="1"/>
    <xf numFmtId="3" fontId="52" fillId="32" borderId="0" xfId="0" applyNumberFormat="1" applyFont="1" applyFill="1"/>
    <xf numFmtId="0" fontId="48" fillId="30" borderId="0" xfId="0" applyFont="1" applyFill="1"/>
    <xf numFmtId="0" fontId="33" fillId="0" borderId="0" xfId="40" applyAlignment="1" applyProtection="1">
      <alignment vertical="center"/>
      <protection hidden="1"/>
    </xf>
    <xf numFmtId="0" fontId="50" fillId="0" borderId="0" xfId="40" applyFont="1" applyFill="1" applyAlignment="1" applyProtection="1">
      <alignment vertical="center"/>
      <protection hidden="1"/>
    </xf>
    <xf numFmtId="0" fontId="4" fillId="0" borderId="0" xfId="40" applyFont="1" applyFill="1" applyAlignment="1" applyProtection="1">
      <alignment horizontal="right" vertical="center"/>
      <protection locked="0"/>
    </xf>
    <xf numFmtId="9" fontId="33" fillId="0" borderId="0" xfId="40" applyNumberFormat="1" applyAlignment="1" applyProtection="1">
      <alignment vertical="center"/>
      <protection hidden="1"/>
    </xf>
    <xf numFmtId="0" fontId="7" fillId="0" borderId="0" xfId="0" applyFont="1" applyAlignment="1">
      <alignment vertical="center"/>
    </xf>
    <xf numFmtId="0" fontId="56" fillId="0" borderId="0" xfId="40" applyFont="1" applyProtection="1">
      <protection hidden="1"/>
    </xf>
    <xf numFmtId="0" fontId="41" fillId="0" borderId="0" xfId="40" applyFont="1" applyFill="1" applyProtection="1">
      <protection hidden="1"/>
    </xf>
    <xf numFmtId="0" fontId="41" fillId="0" borderId="0" xfId="40" applyFont="1" applyFill="1" applyAlignment="1" applyProtection="1">
      <alignment horizontal="right"/>
      <protection hidden="1"/>
    </xf>
    <xf numFmtId="14" fontId="33" fillId="0" borderId="0" xfId="40" applyNumberFormat="1" applyBorder="1" applyAlignment="1" applyProtection="1">
      <protection hidden="1"/>
    </xf>
    <xf numFmtId="0" fontId="35" fillId="0" borderId="0" xfId="40" applyFont="1" applyBorder="1" applyAlignment="1" applyProtection="1">
      <protection hidden="1"/>
    </xf>
    <xf numFmtId="0" fontId="2" fillId="0" borderId="0" xfId="40" applyFont="1" applyAlignment="1" applyProtection="1">
      <protection hidden="1"/>
    </xf>
    <xf numFmtId="0" fontId="59" fillId="25" borderId="0" xfId="40" applyFont="1" applyFill="1" applyAlignment="1" applyProtection="1">
      <protection hidden="1"/>
    </xf>
    <xf numFmtId="0" fontId="60" fillId="25" borderId="0" xfId="40" applyFont="1" applyFill="1" applyProtection="1">
      <protection hidden="1"/>
    </xf>
    <xf numFmtId="0" fontId="2" fillId="0" borderId="0" xfId="40" applyFont="1" applyBorder="1" applyAlignment="1" applyProtection="1">
      <protection hidden="1"/>
    </xf>
    <xf numFmtId="0" fontId="2" fillId="0" borderId="0" xfId="40" applyFont="1" applyBorder="1" applyAlignment="1" applyProtection="1">
      <alignment horizontal="center"/>
      <protection hidden="1"/>
    </xf>
    <xf numFmtId="0" fontId="57" fillId="36" borderId="0" xfId="40" applyFont="1" applyFill="1" applyProtection="1">
      <protection hidden="1"/>
    </xf>
    <xf numFmtId="0" fontId="55" fillId="36" borderId="0" xfId="40" applyFont="1" applyFill="1" applyProtection="1">
      <protection hidden="1"/>
    </xf>
    <xf numFmtId="0" fontId="57" fillId="36" borderId="0" xfId="40" applyFont="1" applyFill="1" applyAlignment="1" applyProtection="1">
      <alignment horizontal="right"/>
      <protection hidden="1"/>
    </xf>
    <xf numFmtId="0" fontId="47" fillId="0" borderId="0" xfId="40" applyFont="1" applyProtection="1"/>
    <xf numFmtId="0" fontId="47" fillId="0" borderId="0" xfId="40" applyFont="1" applyAlignment="1" applyProtection="1">
      <alignment vertical="top" wrapText="1"/>
    </xf>
    <xf numFmtId="0" fontId="2" fillId="25" borderId="0" xfId="40" applyFont="1" applyFill="1" applyAlignment="1" applyProtection="1">
      <alignment horizontal="right"/>
      <protection hidden="1"/>
    </xf>
    <xf numFmtId="0" fontId="47" fillId="0" borderId="0" xfId="40" applyFont="1" applyAlignment="1" applyProtection="1">
      <alignment wrapText="1"/>
    </xf>
    <xf numFmtId="0" fontId="1" fillId="0" borderId="14" xfId="40" applyFont="1" applyBorder="1" applyAlignment="1" applyProtection="1">
      <protection hidden="1"/>
    </xf>
    <xf numFmtId="0" fontId="28" fillId="38" borderId="22" xfId="40" applyFont="1" applyFill="1" applyBorder="1" applyAlignment="1" applyProtection="1">
      <alignment horizontal="center" vertical="center"/>
      <protection hidden="1"/>
    </xf>
    <xf numFmtId="0" fontId="28" fillId="38" borderId="22" xfId="40" applyFont="1" applyFill="1" applyBorder="1" applyAlignment="1" applyProtection="1">
      <alignment horizontal="center" vertical="center" wrapText="1"/>
      <protection hidden="1"/>
    </xf>
    <xf numFmtId="0" fontId="12" fillId="37" borderId="22" xfId="40" applyFont="1" applyFill="1" applyBorder="1" applyAlignment="1" applyProtection="1">
      <alignment horizontal="center" vertical="center" wrapText="1" readingOrder="1"/>
      <protection hidden="1"/>
    </xf>
    <xf numFmtId="0" fontId="28" fillId="38" borderId="21" xfId="40" applyFont="1" applyFill="1" applyBorder="1" applyAlignment="1" applyProtection="1">
      <alignment horizontal="center" vertical="center" wrapText="1"/>
      <protection hidden="1"/>
    </xf>
    <xf numFmtId="0" fontId="1" fillId="0" borderId="0" xfId="40" applyFont="1" applyProtection="1">
      <protection hidden="1"/>
    </xf>
    <xf numFmtId="0" fontId="34" fillId="0" borderId="0" xfId="40" applyFont="1" applyAlignment="1" applyProtection="1">
      <alignment vertical="top" wrapText="1"/>
    </xf>
    <xf numFmtId="0" fontId="33" fillId="33" borderId="0" xfId="40" applyFill="1" applyProtection="1">
      <protection hidden="1"/>
    </xf>
    <xf numFmtId="0" fontId="33" fillId="33" borderId="0" xfId="40" applyFill="1" applyAlignment="1" applyProtection="1">
      <alignment vertical="center"/>
      <protection hidden="1"/>
    </xf>
    <xf numFmtId="169" fontId="63" fillId="0" borderId="0" xfId="40" applyNumberFormat="1" applyFont="1" applyFill="1" applyAlignment="1" applyProtection="1">
      <alignment horizontal="left" vertical="center"/>
      <protection locked="0"/>
    </xf>
    <xf numFmtId="0" fontId="70" fillId="0" borderId="0" xfId="40" applyFont="1" applyFill="1" applyAlignment="1" applyProtection="1">
      <alignment vertical="center"/>
    </xf>
    <xf numFmtId="0" fontId="70" fillId="0" borderId="0" xfId="40" applyFont="1" applyFill="1" applyAlignment="1" applyProtection="1">
      <alignment vertical="center"/>
      <protection hidden="1"/>
    </xf>
    <xf numFmtId="0" fontId="69" fillId="0" borderId="28" xfId="40" applyFont="1" applyBorder="1" applyAlignment="1" applyProtection="1">
      <alignment vertical="top" wrapText="1"/>
    </xf>
    <xf numFmtId="0" fontId="69" fillId="0" borderId="29" xfId="40" applyFont="1" applyBorder="1" applyAlignment="1" applyProtection="1">
      <alignment vertical="top" wrapText="1"/>
    </xf>
    <xf numFmtId="0" fontId="47" fillId="0" borderId="30" xfId="40" applyFont="1" applyBorder="1" applyProtection="1">
      <protection hidden="1"/>
    </xf>
    <xf numFmtId="169" fontId="68" fillId="28" borderId="32" xfId="40" applyNumberFormat="1" applyFont="1" applyFill="1" applyBorder="1" applyAlignment="1" applyProtection="1">
      <alignment horizontal="center" vertical="top"/>
      <protection locked="0"/>
    </xf>
    <xf numFmtId="169" fontId="73" fillId="28" borderId="32" xfId="40" applyNumberFormat="1" applyFont="1" applyFill="1" applyBorder="1" applyAlignment="1" applyProtection="1">
      <alignment horizontal="center" vertical="center"/>
      <protection locked="0"/>
    </xf>
    <xf numFmtId="0" fontId="69" fillId="0" borderId="0" xfId="40" applyFont="1" applyFill="1" applyProtection="1"/>
    <xf numFmtId="169" fontId="67" fillId="28" borderId="26" xfId="40" applyNumberFormat="1" applyFont="1" applyFill="1" applyBorder="1" applyAlignment="1" applyProtection="1">
      <alignment horizontal="left" vertical="center"/>
      <protection locked="0"/>
    </xf>
    <xf numFmtId="0" fontId="71" fillId="0" borderId="31" xfId="40" applyFont="1" applyBorder="1" applyAlignment="1" applyProtection="1">
      <alignment horizontal="left" vertical="center"/>
    </xf>
    <xf numFmtId="0" fontId="72" fillId="0" borderId="31" xfId="40" applyFont="1" applyBorder="1" applyAlignment="1" applyProtection="1">
      <alignment horizontal="left" vertical="center"/>
    </xf>
    <xf numFmtId="0" fontId="72" fillId="0" borderId="31" xfId="40" applyFont="1" applyBorder="1" applyAlignment="1" applyProtection="1">
      <alignment horizontal="left" vertical="center" wrapText="1"/>
    </xf>
    <xf numFmtId="0" fontId="34" fillId="31" borderId="0" xfId="40" applyFont="1" applyFill="1" applyAlignment="1" applyProtection="1">
      <alignment horizontal="left" vertical="center"/>
    </xf>
    <xf numFmtId="169" fontId="67" fillId="0" borderId="26" xfId="40" applyNumberFormat="1" applyFont="1" applyFill="1" applyBorder="1" applyAlignment="1" applyProtection="1">
      <alignment horizontal="left" vertical="center"/>
    </xf>
    <xf numFmtId="9" fontId="68" fillId="28" borderId="32" xfId="40" applyNumberFormat="1" applyFont="1" applyFill="1" applyBorder="1" applyAlignment="1" applyProtection="1">
      <alignment horizontal="center" vertical="top"/>
      <protection locked="0"/>
    </xf>
    <xf numFmtId="169" fontId="73" fillId="28" borderId="34" xfId="40" applyNumberFormat="1" applyFont="1" applyFill="1" applyBorder="1" applyAlignment="1" applyProtection="1">
      <alignment horizontal="center" vertical="center"/>
      <protection locked="0"/>
    </xf>
    <xf numFmtId="169" fontId="74" fillId="0" borderId="33" xfId="40" applyNumberFormat="1" applyFont="1" applyFill="1" applyBorder="1" applyAlignment="1" applyProtection="1">
      <alignment horizontal="center" vertical="center"/>
    </xf>
    <xf numFmtId="169" fontId="33" fillId="0" borderId="0" xfId="40" applyNumberFormat="1" applyAlignment="1" applyProtection="1">
      <alignment horizontal="right"/>
    </xf>
    <xf numFmtId="3" fontId="48" fillId="37" borderId="0" xfId="0" applyNumberFormat="1" applyFont="1" applyFill="1"/>
    <xf numFmtId="168" fontId="0" fillId="0" borderId="0" xfId="0" applyNumberFormat="1"/>
    <xf numFmtId="0" fontId="66" fillId="28" borderId="27" xfId="40" applyFont="1" applyFill="1" applyBorder="1" applyAlignment="1" applyProtection="1">
      <alignment horizontal="left" vertical="top"/>
      <protection locked="0"/>
    </xf>
    <xf numFmtId="0" fontId="66" fillId="28" borderId="27" xfId="40" applyFont="1" applyFill="1" applyBorder="1" applyAlignment="1" applyProtection="1">
      <alignment horizontal="left" vertical="center" wrapText="1"/>
      <protection locked="0"/>
    </xf>
    <xf numFmtId="0" fontId="66" fillId="28" borderId="27" xfId="40" applyFont="1" applyFill="1" applyBorder="1" applyAlignment="1" applyProtection="1">
      <alignment horizontal="left"/>
      <protection locked="0"/>
    </xf>
    <xf numFmtId="0" fontId="58" fillId="0" borderId="0" xfId="40" applyFont="1" applyAlignment="1" applyProtection="1">
      <alignment horizontal="center" vertical="center" wrapText="1"/>
      <protection hidden="1"/>
    </xf>
    <xf numFmtId="169" fontId="67" fillId="28" borderId="27" xfId="40" applyNumberFormat="1" applyFont="1" applyFill="1" applyBorder="1" applyAlignment="1" applyProtection="1">
      <alignment horizontal="left" vertical="center"/>
      <protection locked="0"/>
    </xf>
    <xf numFmtId="0" fontId="64" fillId="0" borderId="0" xfId="40" applyFont="1" applyAlignment="1" applyProtection="1">
      <alignment horizontal="left" vertical="center" wrapText="1"/>
      <protection hidden="1"/>
    </xf>
    <xf numFmtId="0" fontId="65" fillId="0" borderId="0" xfId="40" applyFont="1" applyAlignment="1" applyProtection="1">
      <alignment horizontal="left" vertical="center" wrapText="1"/>
      <protection hidden="1"/>
    </xf>
    <xf numFmtId="14" fontId="33" fillId="25" borderId="0" xfId="40" applyNumberFormat="1" applyFill="1" applyAlignment="1" applyProtection="1">
      <alignment horizontal="left"/>
      <protection hidden="1"/>
    </xf>
    <xf numFmtId="0" fontId="61" fillId="37" borderId="20" xfId="40" applyFont="1" applyFill="1" applyBorder="1" applyAlignment="1" applyProtection="1">
      <alignment horizontal="center"/>
      <protection hidden="1"/>
    </xf>
    <xf numFmtId="14" fontId="33" fillId="0" borderId="0" xfId="40" applyNumberFormat="1" applyBorder="1" applyAlignment="1" applyProtection="1">
      <alignment horizontal="left"/>
      <protection hidden="1"/>
    </xf>
    <xf numFmtId="42" fontId="45" fillId="0" borderId="14" xfId="40" applyNumberFormat="1" applyFont="1" applyBorder="1" applyAlignment="1" applyProtection="1">
      <alignment vertical="center"/>
      <protection hidden="1"/>
    </xf>
    <xf numFmtId="42" fontId="45" fillId="0" borderId="16" xfId="40" applyNumberFormat="1" applyFont="1" applyBorder="1" applyAlignment="1" applyProtection="1">
      <alignment vertical="center"/>
      <protection hidden="1"/>
    </xf>
    <xf numFmtId="0" fontId="33" fillId="25" borderId="0" xfId="40" applyFill="1" applyAlignment="1" applyProtection="1">
      <alignment horizontal="left"/>
      <protection hidden="1"/>
    </xf>
    <xf numFmtId="0" fontId="26" fillId="25" borderId="17" xfId="40" applyFont="1" applyFill="1" applyBorder="1" applyAlignment="1" applyProtection="1">
      <alignment horizontal="left" vertical="center" wrapText="1"/>
      <protection hidden="1"/>
    </xf>
    <xf numFmtId="0" fontId="26" fillId="25" borderId="18" xfId="40" applyFont="1" applyFill="1" applyBorder="1" applyAlignment="1" applyProtection="1">
      <alignment horizontal="left" vertical="center" wrapText="1"/>
      <protection hidden="1"/>
    </xf>
    <xf numFmtId="0" fontId="26" fillId="25" borderId="19" xfId="40" applyFont="1" applyFill="1" applyBorder="1" applyAlignment="1" applyProtection="1">
      <alignment horizontal="left" vertical="center" wrapText="1"/>
      <protection hidden="1"/>
    </xf>
    <xf numFmtId="0" fontId="44" fillId="29" borderId="23" xfId="40" applyFont="1" applyFill="1" applyBorder="1" applyAlignment="1" applyProtection="1">
      <alignment horizontal="center"/>
      <protection hidden="1"/>
    </xf>
    <xf numFmtId="0" fontId="44" fillId="29" borderId="24" xfId="40" applyFont="1" applyFill="1" applyBorder="1" applyAlignment="1" applyProtection="1">
      <alignment horizontal="center"/>
      <protection hidden="1"/>
    </xf>
    <xf numFmtId="0" fontId="44" fillId="29" borderId="25" xfId="40" applyFont="1" applyFill="1" applyBorder="1" applyAlignment="1" applyProtection="1">
      <alignment horizontal="center"/>
      <protection hidden="1"/>
    </xf>
    <xf numFmtId="0" fontId="39" fillId="25" borderId="0" xfId="40" applyFont="1" applyFill="1" applyAlignment="1" applyProtection="1">
      <alignment horizontal="left" vertical="center" wrapText="1"/>
      <protection hidden="1"/>
    </xf>
    <xf numFmtId="169" fontId="44" fillId="29" borderId="0" xfId="34" applyNumberFormat="1" applyFont="1" applyFill="1" applyBorder="1" applyAlignment="1" applyProtection="1">
      <alignment horizontal="center" readingOrder="1"/>
      <protection hidden="1"/>
    </xf>
    <xf numFmtId="0" fontId="1" fillId="0" borderId="14" xfId="40" applyFont="1" applyBorder="1" applyAlignment="1" applyProtection="1">
      <alignment horizontal="left" vertical="center" wrapText="1"/>
      <protection hidden="1"/>
    </xf>
    <xf numFmtId="0" fontId="1" fillId="0" borderId="15" xfId="40" applyFont="1" applyBorder="1" applyAlignment="1" applyProtection="1">
      <alignment horizontal="left" vertical="center" wrapText="1"/>
      <protection hidden="1"/>
    </xf>
    <xf numFmtId="0" fontId="1" fillId="0" borderId="16" xfId="40" applyFont="1" applyBorder="1" applyAlignment="1" applyProtection="1">
      <alignment horizontal="left" vertical="center" wrapText="1"/>
      <protection hidden="1"/>
    </xf>
    <xf numFmtId="0" fontId="49" fillId="35" borderId="0" xfId="0" applyFont="1" applyFill="1" applyAlignment="1">
      <alignment horizontal="center"/>
    </xf>
    <xf numFmtId="0" fontId="49" fillId="34" borderId="0" xfId="0" applyFont="1" applyFill="1" applyAlignment="1">
      <alignment horizontal="center"/>
    </xf>
    <xf numFmtId="3" fontId="48" fillId="39" borderId="0" xfId="0" applyNumberFormat="1" applyFont="1" applyFill="1" applyAlignment="1">
      <alignment horizontal="center" vertical="center"/>
    </xf>
    <xf numFmtId="0" fontId="49" fillId="0" borderId="0" xfId="0" applyFont="1" applyAlignment="1">
      <alignment horizontal="center"/>
    </xf>
  </cellXfs>
  <cellStyles count="5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Estilo 1" xfId="31"/>
    <cellStyle name="Euro" xfId="32"/>
    <cellStyle name="Incorrecto" xfId="33" builtinId="27" customBuiltin="1"/>
    <cellStyle name="Millares" xfId="54" builtinId="3"/>
    <cellStyle name="Millares 2" xfId="34"/>
    <cellStyle name="Millares 3" xfId="35"/>
    <cellStyle name="Millares 4" xfId="36"/>
    <cellStyle name="Moneda 2" xfId="37"/>
    <cellStyle name="Moneda 3" xfId="38"/>
    <cellStyle name="Neutral" xfId="39" builtinId="28" customBuiltin="1"/>
    <cellStyle name="Normal" xfId="0" builtinId="0"/>
    <cellStyle name="Normal 2" xfId="40"/>
    <cellStyle name="Normal 3" xfId="41"/>
    <cellStyle name="Notas" xfId="42" builtinId="10" customBuiltin="1"/>
    <cellStyle name="Porcentaje 2" xfId="43"/>
    <cellStyle name="Porcentaje 3" xfId="44"/>
    <cellStyle name="Porcentaje 4" xfId="45"/>
    <cellStyle name="Salida" xfId="46" builtinId="21" customBuiltin="1"/>
    <cellStyle name="Texto de advertencia" xfId="47" builtinId="11" customBuiltin="1"/>
    <cellStyle name="Texto explicativo" xfId="48" builtinId="53" customBuiltin="1"/>
    <cellStyle name="Título" xfId="49" builtinId="15" customBuiltin="1"/>
    <cellStyle name="Título 1" xfId="50" builtinId="16" customBuiltin="1"/>
    <cellStyle name="Título 2" xfId="51" builtinId="17" customBuiltin="1"/>
    <cellStyle name="Título 3" xfId="52" builtinId="18" customBuiltin="1"/>
    <cellStyle name="Total" xfId="53" builtinId="25" customBuiltin="1"/>
  </cellStyles>
  <dxfs count="39">
    <dxf>
      <font>
        <color theme="0"/>
      </font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none">
          <bgColor auto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none">
          <bgColor indexed="6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none">
          <bgColor indexed="6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none">
          <bgColor indexed="6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none">
          <bgColor indexed="6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none">
          <bgColor indexed="6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none">
          <bgColor indexed="6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9900FF"/>
      <color rgb="FFCC00FF"/>
      <color rgb="FFCCFFFF"/>
      <color rgb="FF23DDBA"/>
      <color rgb="FF666699"/>
      <color rgb="FF6699FF"/>
      <color rgb="FF00FF00"/>
      <color rgb="FFCCFF33"/>
      <color rgb="FFFF0066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Cotizador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5.png"/><Relationship Id="rId4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742950</xdr:colOff>
      <xdr:row>6</xdr:row>
      <xdr:rowOff>123826</xdr:rowOff>
    </xdr:from>
    <xdr:to>
      <xdr:col>9</xdr:col>
      <xdr:colOff>590549</xdr:colOff>
      <xdr:row>7</xdr:row>
      <xdr:rowOff>161925</xdr:rowOff>
    </xdr:to>
    <xdr:sp macro="[0]!AP_BORRAR" textlink="">
      <xdr:nvSpPr>
        <xdr:cNvPr id="2" name="1 Rectángulo redondeado"/>
        <xdr:cNvSpPr/>
      </xdr:nvSpPr>
      <xdr:spPr>
        <a:xfrm>
          <a:off x="7248525" y="2000251"/>
          <a:ext cx="1209674" cy="314324"/>
        </a:xfrm>
        <a:prstGeom prst="roundRect">
          <a:avLst/>
        </a:prstGeom>
        <a:solidFill>
          <a:srgbClr val="9900FF"/>
        </a:solidFill>
        <a:ln>
          <a:solidFill>
            <a:srgbClr val="DDDDD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bg1"/>
              </a:solidFill>
            </a:rPr>
            <a:t>1.</a:t>
          </a:r>
          <a:r>
            <a:rPr lang="es-CO" sz="1400" b="1" baseline="0">
              <a:solidFill>
                <a:schemeClr val="bg1"/>
              </a:solidFill>
            </a:rPr>
            <a:t>  </a:t>
          </a:r>
          <a:r>
            <a:rPr lang="es-CO" sz="1400" b="1">
              <a:solidFill>
                <a:schemeClr val="bg1"/>
              </a:solidFill>
            </a:rPr>
            <a:t>Borrar</a:t>
          </a:r>
        </a:p>
      </xdr:txBody>
    </xdr:sp>
    <xdr:clientData/>
  </xdr:twoCellAnchor>
  <xdr:twoCellAnchor>
    <xdr:from>
      <xdr:col>8</xdr:col>
      <xdr:colOff>762795</xdr:colOff>
      <xdr:row>8</xdr:row>
      <xdr:rowOff>57149</xdr:rowOff>
    </xdr:from>
    <xdr:to>
      <xdr:col>9</xdr:col>
      <xdr:colOff>536467</xdr:colOff>
      <xdr:row>9</xdr:row>
      <xdr:rowOff>133349</xdr:rowOff>
    </xdr:to>
    <xdr:sp macro="" textlink="">
      <xdr:nvSpPr>
        <xdr:cNvPr id="3" name="2 Rectángulo redondeado">
          <a:hlinkClick xmlns:r="http://schemas.openxmlformats.org/officeDocument/2006/relationships" r:id="rId1"/>
        </xdr:cNvPr>
        <xdr:cNvSpPr/>
      </xdr:nvSpPr>
      <xdr:spPr>
        <a:xfrm>
          <a:off x="8185726" y="2520511"/>
          <a:ext cx="1131258" cy="360855"/>
        </a:xfrm>
        <a:prstGeom prst="roundRect">
          <a:avLst/>
        </a:prstGeom>
        <a:solidFill>
          <a:srgbClr val="9900FF"/>
        </a:solidFill>
        <a:ln>
          <a:solidFill>
            <a:srgbClr val="DDDDD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2.</a:t>
          </a:r>
          <a:r>
            <a:rPr lang="es-CO" sz="1400" b="1" baseline="0"/>
            <a:t> </a:t>
          </a:r>
          <a:r>
            <a:rPr lang="es-CO" sz="1400" b="1"/>
            <a:t>Cotizar</a:t>
          </a:r>
        </a:p>
      </xdr:txBody>
    </xdr:sp>
    <xdr:clientData/>
  </xdr:twoCellAnchor>
  <xdr:twoCellAnchor editAs="oneCell">
    <xdr:from>
      <xdr:col>0</xdr:col>
      <xdr:colOff>19049</xdr:colOff>
      <xdr:row>28</xdr:row>
      <xdr:rowOff>140906</xdr:rowOff>
    </xdr:from>
    <xdr:to>
      <xdr:col>11</xdr:col>
      <xdr:colOff>131378</xdr:colOff>
      <xdr:row>34</xdr:row>
      <xdr:rowOff>11935</xdr:rowOff>
    </xdr:to>
    <xdr:pic>
      <xdr:nvPicPr>
        <xdr:cNvPr id="45364" name="9 Imagen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" y="8133147"/>
          <a:ext cx="10743105" cy="506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1379482</xdr:colOff>
      <xdr:row>26</xdr:row>
      <xdr:rowOff>148597</xdr:rowOff>
    </xdr:from>
    <xdr:to>
      <xdr:col>9</xdr:col>
      <xdr:colOff>700690</xdr:colOff>
      <xdr:row>30</xdr:row>
      <xdr:rowOff>39249</xdr:rowOff>
    </xdr:to>
    <xdr:pic>
      <xdr:nvPicPr>
        <xdr:cNvPr id="45365" name="Bild 8" descr="AZ_Logo_RGB.ai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07585" y="7768597"/>
          <a:ext cx="2321036" cy="6351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783828</xdr:colOff>
      <xdr:row>12</xdr:row>
      <xdr:rowOff>178593</xdr:rowOff>
    </xdr:from>
    <xdr:to>
      <xdr:col>1</xdr:col>
      <xdr:colOff>885825</xdr:colOff>
      <xdr:row>12</xdr:row>
      <xdr:rowOff>267889</xdr:rowOff>
    </xdr:to>
    <xdr:sp macro="" textlink="">
      <xdr:nvSpPr>
        <xdr:cNvPr id="6" name="5 Elipse"/>
        <xdr:cNvSpPr/>
      </xdr:nvSpPr>
      <xdr:spPr>
        <a:xfrm>
          <a:off x="1190625" y="3770312"/>
          <a:ext cx="101997" cy="89296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798909</xdr:colOff>
      <xdr:row>13</xdr:row>
      <xdr:rowOff>123825</xdr:rowOff>
    </xdr:from>
    <xdr:to>
      <xdr:col>1</xdr:col>
      <xdr:colOff>856059</xdr:colOff>
      <xdr:row>13</xdr:row>
      <xdr:rowOff>169544</xdr:rowOff>
    </xdr:to>
    <xdr:sp macro="" textlink="">
      <xdr:nvSpPr>
        <xdr:cNvPr id="9" name="8 Elipse"/>
        <xdr:cNvSpPr/>
      </xdr:nvSpPr>
      <xdr:spPr>
        <a:xfrm>
          <a:off x="1205706" y="4033044"/>
          <a:ext cx="57150" cy="45719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799306</xdr:colOff>
      <xdr:row>14</xdr:row>
      <xdr:rowOff>95250</xdr:rowOff>
    </xdr:from>
    <xdr:to>
      <xdr:col>1</xdr:col>
      <xdr:colOff>856456</xdr:colOff>
      <xdr:row>14</xdr:row>
      <xdr:rowOff>140969</xdr:rowOff>
    </xdr:to>
    <xdr:sp macro="" textlink="">
      <xdr:nvSpPr>
        <xdr:cNvPr id="10" name="9 Elipse"/>
        <xdr:cNvSpPr/>
      </xdr:nvSpPr>
      <xdr:spPr>
        <a:xfrm>
          <a:off x="1206103" y="4242594"/>
          <a:ext cx="57150" cy="45719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808831</xdr:colOff>
      <xdr:row>15</xdr:row>
      <xdr:rowOff>135335</xdr:rowOff>
    </xdr:from>
    <xdr:to>
      <xdr:col>1</xdr:col>
      <xdr:colOff>865981</xdr:colOff>
      <xdr:row>15</xdr:row>
      <xdr:rowOff>181054</xdr:rowOff>
    </xdr:to>
    <xdr:sp macro="" textlink="">
      <xdr:nvSpPr>
        <xdr:cNvPr id="11" name="10 Elipse"/>
        <xdr:cNvSpPr/>
      </xdr:nvSpPr>
      <xdr:spPr>
        <a:xfrm>
          <a:off x="1215628" y="4481116"/>
          <a:ext cx="57150" cy="45719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828675</xdr:colOff>
      <xdr:row>16</xdr:row>
      <xdr:rowOff>124619</xdr:rowOff>
    </xdr:from>
    <xdr:to>
      <xdr:col>1</xdr:col>
      <xdr:colOff>885825</xdr:colOff>
      <xdr:row>16</xdr:row>
      <xdr:rowOff>170338</xdr:rowOff>
    </xdr:to>
    <xdr:sp macro="" textlink="">
      <xdr:nvSpPr>
        <xdr:cNvPr id="12" name="11 Elipse"/>
        <xdr:cNvSpPr/>
      </xdr:nvSpPr>
      <xdr:spPr>
        <a:xfrm>
          <a:off x="1235472" y="4787900"/>
          <a:ext cx="57150" cy="45719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828675</xdr:colOff>
      <xdr:row>17</xdr:row>
      <xdr:rowOff>104775</xdr:rowOff>
    </xdr:from>
    <xdr:to>
      <xdr:col>1</xdr:col>
      <xdr:colOff>885825</xdr:colOff>
      <xdr:row>17</xdr:row>
      <xdr:rowOff>150494</xdr:rowOff>
    </xdr:to>
    <xdr:sp macro="" textlink="">
      <xdr:nvSpPr>
        <xdr:cNvPr id="13" name="12 Elipse"/>
        <xdr:cNvSpPr/>
      </xdr:nvSpPr>
      <xdr:spPr>
        <a:xfrm>
          <a:off x="1238250" y="4152900"/>
          <a:ext cx="57150" cy="45719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819150</xdr:colOff>
      <xdr:row>18</xdr:row>
      <xdr:rowOff>85725</xdr:rowOff>
    </xdr:from>
    <xdr:to>
      <xdr:col>1</xdr:col>
      <xdr:colOff>876300</xdr:colOff>
      <xdr:row>18</xdr:row>
      <xdr:rowOff>131444</xdr:rowOff>
    </xdr:to>
    <xdr:sp macro="" textlink="">
      <xdr:nvSpPr>
        <xdr:cNvPr id="14" name="13 Elipse"/>
        <xdr:cNvSpPr/>
      </xdr:nvSpPr>
      <xdr:spPr>
        <a:xfrm>
          <a:off x="1228725" y="4333875"/>
          <a:ext cx="57150" cy="45719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819150</xdr:colOff>
      <xdr:row>19</xdr:row>
      <xdr:rowOff>85725</xdr:rowOff>
    </xdr:from>
    <xdr:to>
      <xdr:col>1</xdr:col>
      <xdr:colOff>876300</xdr:colOff>
      <xdr:row>19</xdr:row>
      <xdr:rowOff>131444</xdr:rowOff>
    </xdr:to>
    <xdr:sp macro="" textlink="">
      <xdr:nvSpPr>
        <xdr:cNvPr id="16" name="15 Elipse"/>
        <xdr:cNvSpPr/>
      </xdr:nvSpPr>
      <xdr:spPr>
        <a:xfrm>
          <a:off x="1228725" y="5524500"/>
          <a:ext cx="57150" cy="45719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819150</xdr:colOff>
      <xdr:row>20</xdr:row>
      <xdr:rowOff>85725</xdr:rowOff>
    </xdr:from>
    <xdr:to>
      <xdr:col>1</xdr:col>
      <xdr:colOff>876300</xdr:colOff>
      <xdr:row>20</xdr:row>
      <xdr:rowOff>131444</xdr:rowOff>
    </xdr:to>
    <xdr:sp macro="" textlink="">
      <xdr:nvSpPr>
        <xdr:cNvPr id="17" name="16 Elipse"/>
        <xdr:cNvSpPr/>
      </xdr:nvSpPr>
      <xdr:spPr>
        <a:xfrm>
          <a:off x="1228725" y="5524500"/>
          <a:ext cx="57150" cy="45719"/>
        </a:xfrm>
        <a:prstGeom prst="ellips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295617</xdr:colOff>
      <xdr:row>11</xdr:row>
      <xdr:rowOff>262760</xdr:rowOff>
    </xdr:from>
    <xdr:to>
      <xdr:col>6</xdr:col>
      <xdr:colOff>10948</xdr:colOff>
      <xdr:row>13</xdr:row>
      <xdr:rowOff>32847</xdr:rowOff>
    </xdr:to>
    <xdr:sp macro="" textlink="">
      <xdr:nvSpPr>
        <xdr:cNvPr id="20" name="19 Flecha a la derecha con muesca"/>
        <xdr:cNvSpPr/>
      </xdr:nvSpPr>
      <xdr:spPr>
        <a:xfrm>
          <a:off x="4674927" y="3492501"/>
          <a:ext cx="1456107" cy="437932"/>
        </a:xfrm>
        <a:prstGeom prst="notchedRightArrow">
          <a:avLst/>
        </a:prstGeom>
        <a:solidFill>
          <a:srgbClr val="9900FF"/>
        </a:solidFill>
        <a:ln>
          <a:noFill/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1400" b="1"/>
            <a:t>Obligatoria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pSp>
      <xdr:nvGrpSpPr>
        <xdr:cNvPr id="96599" name="Group 13"/>
        <xdr:cNvGrpSpPr>
          <a:grpSpLocks/>
        </xdr:cNvGrpSpPr>
      </xdr:nvGrpSpPr>
      <xdr:grpSpPr bwMode="auto">
        <a:xfrm>
          <a:off x="0" y="0"/>
          <a:ext cx="0" cy="0"/>
          <a:chOff x="0" y="1"/>
          <a:chExt cx="650" cy="147"/>
        </a:xfrm>
      </xdr:grpSpPr>
      <xdr:pic>
        <xdr:nvPicPr>
          <xdr:cNvPr id="96609" name="Picture 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"/>
            <a:ext cx="650" cy="1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0</xdr:col>
      <xdr:colOff>0</xdr:colOff>
      <xdr:row>9</xdr:row>
      <xdr:rowOff>87085</xdr:rowOff>
    </xdr:from>
    <xdr:to>
      <xdr:col>12</xdr:col>
      <xdr:colOff>618507</xdr:colOff>
      <xdr:row>10</xdr:row>
      <xdr:rowOff>123701</xdr:rowOff>
    </xdr:to>
    <xdr:sp macro="" textlink="">
      <xdr:nvSpPr>
        <xdr:cNvPr id="4" name="AutoShape 16"/>
        <xdr:cNvSpPr>
          <a:spLocks noChangeArrowheads="1"/>
        </xdr:cNvSpPr>
      </xdr:nvSpPr>
      <xdr:spPr bwMode="auto">
        <a:xfrm>
          <a:off x="0" y="1868384"/>
          <a:ext cx="9289968" cy="234538"/>
        </a:xfrm>
        <a:prstGeom prst="flowChartAlternateProcess">
          <a:avLst/>
        </a:prstGeom>
        <a:solidFill>
          <a:srgbClr val="003D92"/>
        </a:solidFill>
        <a:ln>
          <a:headEnd/>
          <a:tailEnd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chemeClr val="bg1"/>
              </a:solidFill>
              <a:latin typeface="Calibri"/>
            </a:rPr>
            <a:t>DATOS GENERALES</a:t>
          </a:r>
        </a:p>
      </xdr:txBody>
    </xdr:sp>
    <xdr:clientData/>
  </xdr:twoCellAnchor>
  <xdr:twoCellAnchor>
    <xdr:from>
      <xdr:col>0</xdr:col>
      <xdr:colOff>0</xdr:colOff>
      <xdr:row>25</xdr:row>
      <xdr:rowOff>39461</xdr:rowOff>
    </xdr:from>
    <xdr:to>
      <xdr:col>12</xdr:col>
      <xdr:colOff>618507</xdr:colOff>
      <xdr:row>25</xdr:row>
      <xdr:rowOff>321623</xdr:rowOff>
    </xdr:to>
    <xdr:sp macro="" textlink="">
      <xdr:nvSpPr>
        <xdr:cNvPr id="5" name="AutoShape 19"/>
        <xdr:cNvSpPr>
          <a:spLocks noChangeArrowheads="1"/>
        </xdr:cNvSpPr>
      </xdr:nvSpPr>
      <xdr:spPr bwMode="auto">
        <a:xfrm>
          <a:off x="0" y="4987513"/>
          <a:ext cx="9289968" cy="282162"/>
        </a:xfrm>
        <a:prstGeom prst="flowChartAlternateProcess">
          <a:avLst/>
        </a:prstGeom>
        <a:solidFill>
          <a:srgbClr val="003D92"/>
        </a:solidFill>
        <a:ln>
          <a:headEnd/>
          <a:tailEnd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chemeClr val="bg1"/>
              </a:solidFill>
              <a:latin typeface="Calibri"/>
            </a:rPr>
            <a:t>SIMULACIÓN TARIFA POR AÑOS</a:t>
          </a:r>
        </a:p>
      </xdr:txBody>
    </xdr:sp>
    <xdr:clientData/>
  </xdr:twoCellAnchor>
  <xdr:twoCellAnchor editAs="oneCell">
    <xdr:from>
      <xdr:col>0</xdr:col>
      <xdr:colOff>114300</xdr:colOff>
      <xdr:row>61</xdr:row>
      <xdr:rowOff>28575</xdr:rowOff>
    </xdr:from>
    <xdr:to>
      <xdr:col>12</xdr:col>
      <xdr:colOff>511629</xdr:colOff>
      <xdr:row>65</xdr:row>
      <xdr:rowOff>38100</xdr:rowOff>
    </xdr:to>
    <xdr:pic>
      <xdr:nvPicPr>
        <xdr:cNvPr id="96602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3220700"/>
          <a:ext cx="8905875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</xdr:colOff>
      <xdr:row>61</xdr:row>
      <xdr:rowOff>57150</xdr:rowOff>
    </xdr:from>
    <xdr:to>
      <xdr:col>11</xdr:col>
      <xdr:colOff>1017319</xdr:colOff>
      <xdr:row>64</xdr:row>
      <xdr:rowOff>66674</xdr:rowOff>
    </xdr:to>
    <xdr:pic>
      <xdr:nvPicPr>
        <xdr:cNvPr id="96603" name="Bild 8" descr="AZ_Logo_RGB.ai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0" y="13249275"/>
          <a:ext cx="21050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32</xdr:col>
      <xdr:colOff>149678</xdr:colOff>
      <xdr:row>0</xdr:row>
      <xdr:rowOff>95245</xdr:rowOff>
    </xdr:from>
    <xdr:to>
      <xdr:col>32</xdr:col>
      <xdr:colOff>925285</xdr:colOff>
      <xdr:row>2</xdr:row>
      <xdr:rowOff>81638</xdr:rowOff>
    </xdr:to>
    <xdr:sp macro="" textlink="">
      <xdr:nvSpPr>
        <xdr:cNvPr id="10" name="9 Rectángulo redondeado">
          <a:hlinkClick xmlns:r="http://schemas.openxmlformats.org/officeDocument/2006/relationships" r:id="rId4"/>
        </xdr:cNvPr>
        <xdr:cNvSpPr/>
      </xdr:nvSpPr>
      <xdr:spPr>
        <a:xfrm>
          <a:off x="9192243" y="95245"/>
          <a:ext cx="775607" cy="394607"/>
        </a:xfrm>
        <a:prstGeom prst="roundRect">
          <a:avLst/>
        </a:prstGeom>
        <a:solidFill>
          <a:srgbClr val="9900FF"/>
        </a:solidFill>
        <a:ln>
          <a:solidFill>
            <a:srgbClr val="DDDDD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VOLVER</a:t>
          </a:r>
        </a:p>
      </xdr:txBody>
    </xdr:sp>
    <xdr:clientData/>
  </xdr:twoCellAnchor>
  <xdr:twoCellAnchor>
    <xdr:from>
      <xdr:col>9</xdr:col>
      <xdr:colOff>206825</xdr:colOff>
      <xdr:row>0</xdr:row>
      <xdr:rowOff>19844</xdr:rowOff>
    </xdr:from>
    <xdr:to>
      <xdr:col>12</xdr:col>
      <xdr:colOff>659371</xdr:colOff>
      <xdr:row>8</xdr:row>
      <xdr:rowOff>54508</xdr:rowOff>
    </xdr:to>
    <xdr:sp macro="" textlink="">
      <xdr:nvSpPr>
        <xdr:cNvPr id="11" name="10 Recortar rectángulo de esquina sencilla"/>
        <xdr:cNvSpPr/>
      </xdr:nvSpPr>
      <xdr:spPr>
        <a:xfrm flipV="1">
          <a:off x="5822864" y="19844"/>
          <a:ext cx="3198715" cy="1593300"/>
        </a:xfrm>
        <a:prstGeom prst="snip1Rect">
          <a:avLst/>
        </a:prstGeom>
        <a:solidFill>
          <a:srgbClr val="003DA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 b="0"/>
        </a:p>
      </xdr:txBody>
    </xdr:sp>
    <xdr:clientData/>
  </xdr:twoCellAnchor>
  <xdr:oneCellAnchor>
    <xdr:from>
      <xdr:col>9</xdr:col>
      <xdr:colOff>435137</xdr:colOff>
      <xdr:row>0</xdr:row>
      <xdr:rowOff>4482</xdr:rowOff>
    </xdr:from>
    <xdr:ext cx="2571751" cy="1660070"/>
    <xdr:sp macro="" textlink="">
      <xdr:nvSpPr>
        <xdr:cNvPr id="12" name="11 CuadroTexto"/>
        <xdr:cNvSpPr txBox="1"/>
      </xdr:nvSpPr>
      <xdr:spPr>
        <a:xfrm>
          <a:off x="6365218" y="4482"/>
          <a:ext cx="2571751" cy="16600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CO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Allianz</a:t>
          </a:r>
        </a:p>
        <a:p>
          <a:endParaRPr lang="es-CO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s-CO" sz="2200" b="1">
              <a:solidFill>
                <a:schemeClr val="bg1"/>
              </a:solidFill>
              <a:latin typeface="Arial Narrow" panose="020B0606020202030204" pitchFamily="34" charset="0"/>
              <a:cs typeface="Arial" panose="020B0604020202020204" pitchFamily="34" charset="0"/>
            </a:rPr>
            <a:t>Estudio </a:t>
          </a:r>
          <a:r>
            <a:rPr lang="es-CO" sz="2200" b="1" baseline="0">
              <a:solidFill>
                <a:schemeClr val="bg1"/>
              </a:solidFill>
              <a:latin typeface="Arial Narrow" panose="020B0606020202030204" pitchFamily="34" charset="0"/>
              <a:cs typeface="Arial" panose="020B0604020202020204" pitchFamily="34" charset="0"/>
            </a:rPr>
            <a:t>del seguro</a:t>
          </a:r>
        </a:p>
        <a:p>
          <a:r>
            <a:rPr lang="es-CO" sz="1300" b="1" baseline="0">
              <a:solidFill>
                <a:schemeClr val="bg1"/>
              </a:solidFill>
              <a:latin typeface="Arial Narrow" panose="020B0606020202030204" pitchFamily="34" charset="0"/>
              <a:cs typeface="Arial" panose="020B0604020202020204" pitchFamily="34" charset="0"/>
            </a:rPr>
            <a:t>Allianz Vida Individual</a:t>
          </a:r>
        </a:p>
        <a:p>
          <a:endParaRPr lang="es-CO" sz="1300" b="1" baseline="0">
            <a:solidFill>
              <a:schemeClr val="bg1"/>
            </a:solidFill>
            <a:latin typeface="Arial Narrow" panose="020B0606020202030204" pitchFamily="34" charset="0"/>
            <a:cs typeface="Arial" panose="020B0604020202020204" pitchFamily="34" charset="0"/>
          </a:endParaRPr>
        </a:p>
        <a:p>
          <a:r>
            <a:rPr lang="es-CO" sz="1400" b="1" baseline="0">
              <a:solidFill>
                <a:schemeClr val="bg1"/>
              </a:solidFill>
              <a:latin typeface="Arial Narrow" panose="020B0606020202030204" pitchFamily="34" charset="0"/>
              <a:cs typeface="Arial" panose="020B0604020202020204" pitchFamily="34" charset="0"/>
            </a:rPr>
            <a:t>Vida ActuAll</a:t>
          </a:r>
        </a:p>
        <a:p>
          <a:endParaRPr lang="es-CO" sz="1100" b="1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s-CO" sz="105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www.allianz.co</a:t>
          </a:r>
        </a:p>
      </xdr:txBody>
    </xdr:sp>
    <xdr:clientData/>
  </xdr:oneCellAnchor>
  <xdr:twoCellAnchor>
    <xdr:from>
      <xdr:col>5</xdr:col>
      <xdr:colOff>17262</xdr:colOff>
      <xdr:row>0</xdr:row>
      <xdr:rowOff>24740</xdr:rowOff>
    </xdr:from>
    <xdr:to>
      <xdr:col>9</xdr:col>
      <xdr:colOff>104546</xdr:colOff>
      <xdr:row>8</xdr:row>
      <xdr:rowOff>51954</xdr:rowOff>
    </xdr:to>
    <xdr:sp macro="" textlink="">
      <xdr:nvSpPr>
        <xdr:cNvPr id="13" name="12 Rectángulo"/>
        <xdr:cNvSpPr/>
      </xdr:nvSpPr>
      <xdr:spPr>
        <a:xfrm>
          <a:off x="3616970" y="24740"/>
          <a:ext cx="2054134" cy="1585850"/>
        </a:xfrm>
        <a:prstGeom prst="rect">
          <a:avLst/>
        </a:prstGeom>
        <a:solidFill>
          <a:srgbClr val="99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 baseline="0"/>
        </a:p>
        <a:p>
          <a:pPr algn="l"/>
          <a:endParaRPr lang="es-CO" sz="1600" b="1" baseline="0"/>
        </a:p>
        <a:p>
          <a:pPr algn="l"/>
          <a:r>
            <a:rPr lang="es-CO" sz="1600" b="1" baseline="0"/>
            <a:t>Documento de cotización del Riesgo</a:t>
          </a:r>
          <a:endParaRPr lang="es-CO" sz="1600" b="1"/>
        </a:p>
      </xdr:txBody>
    </xdr:sp>
    <xdr:clientData/>
  </xdr:twoCellAnchor>
  <xdr:twoCellAnchor>
    <xdr:from>
      <xdr:col>13</xdr:col>
      <xdr:colOff>0</xdr:colOff>
      <xdr:row>59</xdr:row>
      <xdr:rowOff>0</xdr:rowOff>
    </xdr:from>
    <xdr:to>
      <xdr:col>13</xdr:col>
      <xdr:colOff>0</xdr:colOff>
      <xdr:row>61</xdr:row>
      <xdr:rowOff>0</xdr:rowOff>
    </xdr:to>
    <xdr:cxnSp macro="">
      <xdr:nvCxnSpPr>
        <xdr:cNvPr id="3" name="2 Conector recto"/>
        <xdr:cNvCxnSpPr/>
      </xdr:nvCxnSpPr>
      <xdr:spPr>
        <a:xfrm>
          <a:off x="9042565" y="11924805"/>
          <a:ext cx="0" cy="1051461"/>
        </a:xfrm>
        <a:prstGeom prst="line">
          <a:avLst/>
        </a:prstGeom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86591</xdr:colOff>
      <xdr:row>0</xdr:row>
      <xdr:rowOff>0</xdr:rowOff>
    </xdr:from>
    <xdr:to>
      <xdr:col>4</xdr:col>
      <xdr:colOff>1001980</xdr:colOff>
      <xdr:row>8</xdr:row>
      <xdr:rowOff>49481</xdr:rowOff>
    </xdr:to>
    <xdr:pic>
      <xdr:nvPicPr>
        <xdr:cNvPr id="15" name="14 Imagen" descr="Imagen2.pn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6591" y="0"/>
          <a:ext cx="3463636" cy="16081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fil01\presidencia\Compartida\Nuevo%20Core\HyM%20Plus\Para%20HyM%20Plus%20T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CE00099\Configuraci&#243;n%20local\Archivos%20temporales%20de%20Internet\Content.Outlook\HQ2M0SML\Cotizador%20-%20Allianz%20Vida%20-%20Modalidad%20EspeciAll%20PLU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CE00099\Configuraci&#243;n%20local\Archivos%20temporales%20de%20Internet\Content.Outlook\HQ2M0SML\Otras%20cosas\Model%20-%20Allianz%20Vida%20-%20Modalidad%20TemporAll%20v201305vF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5808nlopeza02\actuar&#237;a\Embedded%20Value\Embedded%20Value%202004-12\Central%20scenario\HyM%20Antiguo\Plan%20D-I\Profit%20Test%20D-I%20PS%20v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xnas1.intrallianz.es\Colombia\ACTUARIA\VP%20VSP\Vida\Vida%20Individual\Trabajos\Nuevo%20Producto\Profit%20Test\Profit%20Test%20PIVI%20NuevoV0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fil01\presidencia\GC%20de%20Actuaria\Actuaria\Gerencia%20-%20Procesos\Cierres%20local\RESERVAVID1\Ramo11\C&#243;digos%20de%20los%20Planes_Ramo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PlusPU"/>
      <sheetName val="Hoja2"/>
      <sheetName val="Hoja1"/>
    </sheetNames>
    <sheetDataSet>
      <sheetData sheetId="0" refreshError="1"/>
      <sheetData sheetId="1" refreshError="1">
        <row r="3">
          <cell r="B3">
            <v>0.05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Inicio"/>
      <sheetName val="Hoja1"/>
      <sheetName val="Cotizador"/>
      <sheetName val="Proyección Anual"/>
      <sheetName val="DATOS"/>
      <sheetName val="Cotizador - Allianz Vida - Moda"/>
    </sheetNames>
    <sheetDataSet>
      <sheetData sheetId="0">
        <row r="8">
          <cell r="AB8">
            <v>0.1</v>
          </cell>
        </row>
        <row r="9">
          <cell r="AB9">
            <v>0.36</v>
          </cell>
        </row>
      </sheetData>
      <sheetData sheetId="1">
        <row r="11">
          <cell r="D11">
            <v>0</v>
          </cell>
        </row>
      </sheetData>
      <sheetData sheetId="2"/>
      <sheetData sheetId="3">
        <row r="4">
          <cell r="E4" t="str">
            <v>M</v>
          </cell>
        </row>
        <row r="5">
          <cell r="E5">
            <v>20</v>
          </cell>
        </row>
        <row r="6">
          <cell r="E6">
            <v>0</v>
          </cell>
        </row>
        <row r="7">
          <cell r="E7">
            <v>100000000</v>
          </cell>
        </row>
        <row r="8">
          <cell r="E8">
            <v>2000000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Hipotesis"/>
      <sheetName val="Proyeccion"/>
      <sheetName val="Salida"/>
      <sheetName val="TD SALIDA"/>
      <sheetName val="Results"/>
      <sheetName val="Gastos"/>
      <sheetName val="Comparaciones"/>
      <sheetName val="Hoja1"/>
    </sheetNames>
    <sheetDataSet>
      <sheetData sheetId="0" refreshError="1"/>
      <sheetData sheetId="1" refreshError="1">
        <row r="4">
          <cell r="C4" t="str">
            <v>M</v>
          </cell>
        </row>
        <row r="5">
          <cell r="C5">
            <v>50</v>
          </cell>
        </row>
        <row r="7">
          <cell r="C7">
            <v>100000000</v>
          </cell>
        </row>
        <row r="45">
          <cell r="C45">
            <v>1.4116800000000001E-2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Técnico Nivel Plan"/>
      <sheetName val="Tablas"/>
      <sheetName val="Hipótesis"/>
      <sheetName val="Datos de Entrada"/>
      <sheetName val="Conmutación"/>
      <sheetName val="Tarifa Basico"/>
      <sheetName val="PT Básico"/>
      <sheetName val="PT Básico Saldado"/>
      <sheetName val="PT Básico Prorrogado"/>
      <sheetName val="PT Básico Total"/>
      <sheetName val="Salida PT Básico"/>
      <sheetName val="Reaseguros"/>
      <sheetName val="Básico Con Renovación"/>
    </sheetNames>
    <sheetDataSet>
      <sheetData sheetId="0" refreshError="1"/>
      <sheetData sheetId="1" refreshError="1"/>
      <sheetData sheetId="2" refreshError="1"/>
      <sheetData sheetId="3" refreshError="1">
        <row r="7">
          <cell r="D7">
            <v>66081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Técnico Nivel Plan"/>
      <sheetName val="Tablas"/>
      <sheetName val="Hipótesis"/>
      <sheetName val="Datos de Entrada"/>
      <sheetName val="Conmutación"/>
      <sheetName val="Tarifa Basico"/>
      <sheetName val="PT Básico"/>
      <sheetName val="Salida PT Básico"/>
      <sheetName val="Resumen"/>
      <sheetName val="Reaseguros"/>
    </sheetNames>
    <sheetDataSet>
      <sheetData sheetId="0"/>
      <sheetData sheetId="1"/>
      <sheetData sheetId="2">
        <row r="8">
          <cell r="C8">
            <v>1</v>
          </cell>
        </row>
        <row r="11">
          <cell r="C11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ción"/>
      <sheetName val="Descripción2"/>
      <sheetName val="Datos Téc(Nac)"/>
      <sheetName val="Datos Planes(Col)"/>
      <sheetName val="Datos Técnico VAPU"/>
      <sheetName val="TD"/>
      <sheetName val="Hipotesis"/>
    </sheetNames>
    <sheetDataSet>
      <sheetData sheetId="0"/>
      <sheetData sheetId="1"/>
      <sheetData sheetId="2"/>
      <sheetData sheetId="3"/>
      <sheetData sheetId="4"/>
      <sheetData sheetId="5" refreshError="1">
        <row r="3">
          <cell r="C3" t="str">
            <v>10G</v>
          </cell>
          <cell r="D3">
            <v>2</v>
          </cell>
        </row>
        <row r="4">
          <cell r="C4" t="str">
            <v>15A</v>
          </cell>
          <cell r="D4">
            <v>2</v>
          </cell>
        </row>
        <row r="5">
          <cell r="C5" t="str">
            <v>20A</v>
          </cell>
          <cell r="D5">
            <v>17</v>
          </cell>
        </row>
        <row r="6">
          <cell r="C6" t="str">
            <v>5RA</v>
          </cell>
          <cell r="D6">
            <v>32</v>
          </cell>
        </row>
        <row r="7">
          <cell r="C7" t="str">
            <v>5RG</v>
          </cell>
          <cell r="D7">
            <v>11</v>
          </cell>
        </row>
        <row r="8">
          <cell r="C8" t="str">
            <v>OV1</v>
          </cell>
          <cell r="D8">
            <v>47</v>
          </cell>
        </row>
        <row r="9">
          <cell r="C9" t="str">
            <v>T10</v>
          </cell>
          <cell r="D9">
            <v>7</v>
          </cell>
        </row>
        <row r="10">
          <cell r="C10" t="str">
            <v>T20</v>
          </cell>
          <cell r="D10">
            <v>10</v>
          </cell>
        </row>
        <row r="11">
          <cell r="C11" t="str">
            <v>V1R</v>
          </cell>
          <cell r="D11">
            <v>30</v>
          </cell>
        </row>
        <row r="12">
          <cell r="C12" t="str">
            <v>V20</v>
          </cell>
          <cell r="D12">
            <v>1</v>
          </cell>
        </row>
        <row r="13">
          <cell r="C13" t="str">
            <v>V7R</v>
          </cell>
          <cell r="D13">
            <v>43</v>
          </cell>
        </row>
        <row r="14">
          <cell r="C14" t="str">
            <v>V10</v>
          </cell>
          <cell r="D14">
            <v>118</v>
          </cell>
        </row>
        <row r="15">
          <cell r="C15" t="str">
            <v>VU1</v>
          </cell>
          <cell r="D15">
            <v>1220</v>
          </cell>
        </row>
        <row r="16">
          <cell r="C16" t="str">
            <v>VU2</v>
          </cell>
          <cell r="D16">
            <v>19</v>
          </cell>
        </row>
        <row r="17">
          <cell r="C17" t="str">
            <v>VU3</v>
          </cell>
          <cell r="D17">
            <v>56</v>
          </cell>
        </row>
        <row r="18">
          <cell r="C18" t="str">
            <v>VU4</v>
          </cell>
          <cell r="D18">
            <v>5</v>
          </cell>
        </row>
        <row r="19">
          <cell r="C19" t="str">
            <v>VU5</v>
          </cell>
          <cell r="D19">
            <v>25</v>
          </cell>
        </row>
        <row r="20">
          <cell r="C20" t="str">
            <v>VU6</v>
          </cell>
          <cell r="D20">
            <v>22</v>
          </cell>
        </row>
        <row r="21">
          <cell r="C21" t="str">
            <v>VU7</v>
          </cell>
          <cell r="D21">
            <v>21</v>
          </cell>
        </row>
        <row r="22">
          <cell r="C22" t="str">
            <v>VU9</v>
          </cell>
          <cell r="D22">
            <v>8</v>
          </cell>
        </row>
        <row r="23">
          <cell r="C23" t="str">
            <v>V10</v>
          </cell>
          <cell r="D23">
            <v>31</v>
          </cell>
        </row>
        <row r="24">
          <cell r="C24" t="str">
            <v>V15</v>
          </cell>
          <cell r="D24">
            <v>8</v>
          </cell>
        </row>
        <row r="25">
          <cell r="C25" t="str">
            <v>V20</v>
          </cell>
          <cell r="D25">
            <v>71</v>
          </cell>
        </row>
        <row r="26">
          <cell r="C26" t="str">
            <v>V25</v>
          </cell>
          <cell r="D26">
            <v>19</v>
          </cell>
        </row>
        <row r="27">
          <cell r="C27" t="str">
            <v>V30</v>
          </cell>
          <cell r="D27">
            <v>81</v>
          </cell>
        </row>
        <row r="28">
          <cell r="C28" t="str">
            <v>VA1</v>
          </cell>
          <cell r="D28">
            <v>487</v>
          </cell>
        </row>
        <row r="29">
          <cell r="C29" t="str">
            <v>VA5</v>
          </cell>
          <cell r="D29">
            <v>193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T51"/>
  <sheetViews>
    <sheetView showGridLines="0" showRowColHeaders="0" zoomScale="87" zoomScaleNormal="87" workbookViewId="0">
      <selection activeCell="E24" sqref="E24"/>
    </sheetView>
  </sheetViews>
  <sheetFormatPr baseColWidth="10" defaultRowHeight="15"/>
  <cols>
    <col min="1" max="1" width="6.140625" style="4" customWidth="1"/>
    <col min="2" max="2" width="14.28515625" style="4" customWidth="1"/>
    <col min="3" max="3" width="45.28515625" style="4" customWidth="1"/>
    <col min="4" max="4" width="5" style="4" customWidth="1"/>
    <col min="5" max="5" width="8" style="4" customWidth="1"/>
    <col min="6" max="6" width="13.140625" style="4" customWidth="1"/>
    <col min="7" max="7" width="3.140625" style="4" customWidth="1"/>
    <col min="8" max="8" width="24.5703125" style="4" customWidth="1"/>
    <col min="9" max="9" width="20.42578125" style="4" customWidth="1"/>
    <col min="10" max="10" width="11.42578125" style="4"/>
    <col min="11" max="11" width="8" style="4" customWidth="1"/>
    <col min="12" max="12" width="8.7109375" style="4" customWidth="1"/>
    <col min="13" max="13" width="5.5703125" style="4" customWidth="1"/>
    <col min="14" max="14" width="3.7109375" style="4" hidden="1" customWidth="1"/>
    <col min="15" max="15" width="2" style="4" hidden="1" customWidth="1"/>
    <col min="16" max="16" width="9.85546875" style="4" hidden="1" customWidth="1"/>
    <col min="17" max="17" width="10.85546875" style="4" hidden="1" customWidth="1"/>
    <col min="18" max="18" width="15.7109375" style="2" customWidth="1"/>
    <col min="19" max="19" width="8.140625" bestFit="1" customWidth="1"/>
    <col min="20" max="20" width="11.42578125" style="4" hidden="1" customWidth="1"/>
    <col min="21" max="25" width="11.42578125" style="4" customWidth="1"/>
    <col min="26" max="16384" width="11.42578125" style="4"/>
  </cols>
  <sheetData>
    <row r="1" spans="1:19" ht="21.75" customHeight="1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N1" s="4" t="s">
        <v>20</v>
      </c>
      <c r="Q1" s="4" t="s">
        <v>21</v>
      </c>
      <c r="S1" s="2"/>
    </row>
    <row r="2" spans="1:19" ht="34.5" customHeight="1">
      <c r="A2" s="108"/>
      <c r="B2" s="134" t="s">
        <v>72</v>
      </c>
      <c r="C2" s="134"/>
      <c r="D2" s="134"/>
      <c r="E2" s="134"/>
      <c r="F2" s="134"/>
      <c r="G2" s="134"/>
      <c r="H2" s="134"/>
      <c r="I2" s="134"/>
      <c r="J2" s="134"/>
      <c r="K2" s="134"/>
      <c r="L2" s="108"/>
      <c r="N2" s="4" t="s">
        <v>21</v>
      </c>
      <c r="Q2" s="4" t="s">
        <v>24</v>
      </c>
      <c r="S2" s="2"/>
    </row>
    <row r="3" spans="1:19" ht="35.25" customHeight="1">
      <c r="A3" s="108"/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08"/>
      <c r="Q3" s="4" t="s">
        <v>25</v>
      </c>
      <c r="S3" s="2"/>
    </row>
    <row r="4" spans="1:19">
      <c r="A4" s="108"/>
      <c r="B4" s="84" t="s">
        <v>38</v>
      </c>
      <c r="L4" s="108"/>
      <c r="Q4" s="4" t="s">
        <v>26</v>
      </c>
      <c r="S4" s="2"/>
    </row>
    <row r="5" spans="1:19" ht="25.5" customHeight="1">
      <c r="A5" s="108"/>
      <c r="L5" s="108"/>
      <c r="N5" s="5">
        <v>0</v>
      </c>
      <c r="S5" s="2"/>
    </row>
    <row r="6" spans="1:19" ht="15.75" thickBot="1">
      <c r="A6" s="108"/>
      <c r="L6" s="108"/>
      <c r="N6" s="5">
        <v>0.03</v>
      </c>
      <c r="S6" s="2"/>
    </row>
    <row r="7" spans="1:19" ht="21.75" customHeight="1" thickTop="1" thickBot="1">
      <c r="A7" s="108"/>
      <c r="C7" s="113" t="s">
        <v>2</v>
      </c>
      <c r="D7" s="114"/>
      <c r="E7" s="131"/>
      <c r="F7" s="131"/>
      <c r="G7" s="131"/>
      <c r="H7" s="131"/>
      <c r="L7" s="108"/>
      <c r="N7" s="5">
        <v>0.05</v>
      </c>
      <c r="Q7" s="106" t="s">
        <v>61</v>
      </c>
      <c r="S7" s="2"/>
    </row>
    <row r="8" spans="1:19" ht="24.75" customHeight="1" thickTop="1" thickBot="1">
      <c r="A8" s="108"/>
      <c r="C8" s="113" t="s">
        <v>41</v>
      </c>
      <c r="D8" s="114"/>
      <c r="E8" s="132" t="s">
        <v>62</v>
      </c>
      <c r="F8" s="132"/>
      <c r="G8" s="132"/>
      <c r="H8" s="132"/>
      <c r="L8" s="108"/>
      <c r="N8" s="5"/>
      <c r="Q8" s="106" t="s">
        <v>62</v>
      </c>
      <c r="S8" s="2"/>
    </row>
    <row r="9" spans="1:19" ht="22.5" customHeight="1" thickTop="1" thickBot="1">
      <c r="A9" s="108"/>
      <c r="C9" s="113" t="s">
        <v>35</v>
      </c>
      <c r="D9" s="114"/>
      <c r="E9" s="133">
        <v>51</v>
      </c>
      <c r="F9" s="133"/>
      <c r="G9" s="133"/>
      <c r="H9" s="133"/>
      <c r="L9" s="108"/>
      <c r="N9" s="5"/>
      <c r="S9" s="2"/>
    </row>
    <row r="10" spans="1:19" ht="21.75" customHeight="1" thickTop="1" thickBot="1">
      <c r="A10" s="108"/>
      <c r="C10" s="113" t="s">
        <v>73</v>
      </c>
      <c r="D10" s="114"/>
      <c r="E10" s="135"/>
      <c r="F10" s="135"/>
      <c r="G10" s="135"/>
      <c r="H10" s="135"/>
      <c r="L10" s="108"/>
      <c r="N10" s="5"/>
      <c r="S10" s="2"/>
    </row>
    <row r="11" spans="1:19" ht="16.5" thickTop="1">
      <c r="A11" s="108"/>
      <c r="C11" s="107"/>
      <c r="D11" s="107"/>
      <c r="E11" s="107"/>
      <c r="F11" s="107"/>
      <c r="G11" s="107"/>
      <c r="H11" s="107"/>
      <c r="L11" s="108"/>
      <c r="N11" s="5"/>
      <c r="S11" s="2"/>
    </row>
    <row r="12" spans="1:19" s="79" customFormat="1" ht="27.75" customHeight="1" thickBot="1">
      <c r="A12" s="109"/>
      <c r="C12" s="111" t="s">
        <v>31</v>
      </c>
      <c r="D12" s="80"/>
      <c r="E12" s="81"/>
      <c r="F12" s="81"/>
      <c r="G12" s="81"/>
      <c r="H12" s="112" t="s">
        <v>34</v>
      </c>
      <c r="L12" s="109"/>
      <c r="N12" s="82"/>
      <c r="R12" s="83"/>
      <c r="S12" s="83"/>
    </row>
    <row r="13" spans="1:19" ht="24.75" customHeight="1" thickTop="1" thickBot="1">
      <c r="A13" s="108"/>
      <c r="C13" s="120" t="s">
        <v>42</v>
      </c>
      <c r="D13" s="115"/>
      <c r="E13" s="127" t="s">
        <v>20</v>
      </c>
      <c r="F13" s="65"/>
      <c r="G13" s="65"/>
      <c r="H13" s="119">
        <v>1500000000</v>
      </c>
      <c r="I13" s="137">
        <f>IF(H13&lt;20000000,"¡Debe incluir Valor Asegurado para Fallecimiento!",0)</f>
        <v>0</v>
      </c>
      <c r="J13" s="137"/>
      <c r="L13" s="108"/>
      <c r="N13" s="5"/>
      <c r="S13" s="2"/>
    </row>
    <row r="14" spans="1:19" ht="24.75" customHeight="1" thickTop="1" thickBot="1">
      <c r="A14" s="108"/>
      <c r="C14" s="121" t="s">
        <v>79</v>
      </c>
      <c r="D14" s="115"/>
      <c r="E14" s="126" t="s">
        <v>20</v>
      </c>
      <c r="F14" s="128"/>
      <c r="G14" s="128"/>
      <c r="H14" s="124">
        <f>IF(E14=N1,7000000,0)</f>
        <v>7000000</v>
      </c>
      <c r="I14" s="136">
        <f>IF(AND((E14=$N$2),(H14&gt;0)),"¡Ingrese Valor 0 ó por favor Marque Si para cotizar el valor!",0)</f>
        <v>0</v>
      </c>
      <c r="J14" s="136"/>
      <c r="L14" s="108"/>
      <c r="N14" s="5"/>
      <c r="S14" s="2"/>
    </row>
    <row r="15" spans="1:19" ht="26.25" customHeight="1" thickTop="1" thickBot="1">
      <c r="A15" s="108"/>
      <c r="C15" s="122" t="s">
        <v>43</v>
      </c>
      <c r="D15" s="115"/>
      <c r="E15" s="117" t="s">
        <v>20</v>
      </c>
      <c r="F15" s="136">
        <f>IF(AND((E15=$N$1),(H15=0)),"¡Debe incluir el valor  deseado&gt;!",0)</f>
        <v>0</v>
      </c>
      <c r="G15" s="136"/>
      <c r="H15" s="119">
        <v>1500000000</v>
      </c>
      <c r="I15" s="136">
        <f>IF(AND((E15&lt;&gt;$N$1),(H15&gt;0)),"¡Ingrese Valor 0 ó por favor Marque Si para cotizar el valor!",0)</f>
        <v>0</v>
      </c>
      <c r="J15" s="136"/>
      <c r="L15" s="108"/>
      <c r="N15" s="5"/>
      <c r="S15" s="2"/>
    </row>
    <row r="16" spans="1:19" ht="33.75" customHeight="1" thickTop="1" thickBot="1">
      <c r="A16" s="108"/>
      <c r="C16" s="122" t="s">
        <v>66</v>
      </c>
      <c r="D16" s="115"/>
      <c r="E16" s="117" t="s">
        <v>20</v>
      </c>
      <c r="F16" s="136">
        <f>IF(AND((E16=$N$1),(H16=0)),"¡Debe incluir el valor  deseado&gt;!",0)</f>
        <v>0</v>
      </c>
      <c r="G16" s="136"/>
      <c r="H16" s="119">
        <v>1500000000</v>
      </c>
      <c r="I16" s="136">
        <f>IF(AND((E16&lt;&gt;$N$1),(H16&gt;0)),"¡Ingrese Valor 0 ó por favor Marque Si para cotizar el valor!",0)</f>
        <v>0</v>
      </c>
      <c r="J16" s="136"/>
      <c r="L16" s="108"/>
      <c r="N16" s="5"/>
      <c r="S16" s="2"/>
    </row>
    <row r="17" spans="1:19" ht="24.75" customHeight="1" thickTop="1" thickBot="1">
      <c r="A17" s="108"/>
      <c r="C17" s="121" t="s">
        <v>45</v>
      </c>
      <c r="D17" s="115"/>
      <c r="E17" s="117"/>
      <c r="F17" s="136">
        <f>IF(AND((E17=$N$1),(H17=0)),"¡Debe incluir el valor  deseado&gt;!",0)</f>
        <v>0</v>
      </c>
      <c r="G17" s="136"/>
      <c r="H17" s="119"/>
      <c r="I17" s="136">
        <f>IF(AND((E17&lt;&gt;$N$1),(H17&gt;0)),"¡Ingrese Valor 0 ó por favor Marque Si para cotizar el valor!",0)</f>
        <v>0</v>
      </c>
      <c r="J17" s="136"/>
      <c r="L17" s="108"/>
      <c r="N17" s="5"/>
      <c r="S17" s="2"/>
    </row>
    <row r="18" spans="1:19" ht="36" customHeight="1" thickTop="1" thickBot="1">
      <c r="A18" s="108"/>
      <c r="C18" s="122" t="s">
        <v>74</v>
      </c>
      <c r="D18" s="115"/>
      <c r="E18" s="117"/>
      <c r="F18" s="136">
        <f>IF(AND((E18=$N$1),(E10=0)),"¡Debe incluir el valor del ingreso mensual!",0)</f>
        <v>0</v>
      </c>
      <c r="G18" s="136"/>
      <c r="H18" s="124">
        <f>IF(AND(E18=N1,(E10/30)&lt;500000),(E10/30),(IF(AND(E18=N1,E10/30&gt;=500000),500000,0)))</f>
        <v>0</v>
      </c>
      <c r="I18" s="136">
        <f>IF(AND((E18&lt;&gt;$N$1),(H18&gt;0)),"¡Por favor Marque Si para incluir el valor!",0)</f>
        <v>0</v>
      </c>
      <c r="J18" s="136"/>
      <c r="L18" s="108"/>
      <c r="N18" s="5"/>
      <c r="S18" s="2"/>
    </row>
    <row r="19" spans="1:19" ht="21" customHeight="1" thickTop="1" thickBot="1">
      <c r="A19" s="108"/>
      <c r="C19" s="121" t="s">
        <v>75</v>
      </c>
      <c r="D19" s="115"/>
      <c r="E19" s="117"/>
      <c r="F19" s="128"/>
      <c r="G19" s="128"/>
      <c r="H19" s="110"/>
      <c r="L19" s="108"/>
      <c r="N19" s="5"/>
      <c r="S19" s="2"/>
    </row>
    <row r="20" spans="1:19" ht="21" customHeight="1" thickTop="1" thickBot="1">
      <c r="A20" s="108"/>
      <c r="C20" s="121" t="s">
        <v>57</v>
      </c>
      <c r="D20" s="115"/>
      <c r="E20" s="117"/>
      <c r="F20" s="128"/>
      <c r="G20" s="128"/>
      <c r="L20" s="108"/>
      <c r="N20" s="5"/>
      <c r="S20" s="2"/>
    </row>
    <row r="21" spans="1:19" ht="21" customHeight="1" thickTop="1" thickBot="1">
      <c r="A21" s="108"/>
      <c r="C21" s="121" t="s">
        <v>58</v>
      </c>
      <c r="D21" s="115"/>
      <c r="E21" s="117"/>
      <c r="F21" s="128"/>
      <c r="G21" s="128"/>
      <c r="L21" s="108"/>
      <c r="N21" s="5"/>
      <c r="S21" s="2"/>
    </row>
    <row r="22" spans="1:19" ht="14.25" customHeight="1" thickTop="1" thickBot="1">
      <c r="A22" s="108"/>
      <c r="C22" s="123"/>
      <c r="D22" s="62"/>
      <c r="E22" s="63"/>
      <c r="F22" s="63"/>
      <c r="G22" s="63"/>
      <c r="L22" s="108"/>
      <c r="N22" s="5"/>
      <c r="S22" s="2"/>
    </row>
    <row r="23" spans="1:19" ht="20.25" thickTop="1" thickBot="1">
      <c r="A23" s="108"/>
      <c r="C23" s="118" t="s">
        <v>4</v>
      </c>
      <c r="D23" s="64"/>
      <c r="E23" s="125">
        <v>0.03</v>
      </c>
      <c r="L23" s="108"/>
      <c r="S23" s="2"/>
    </row>
    <row r="24" spans="1:19" ht="20.25" thickTop="1" thickBot="1">
      <c r="A24" s="108"/>
      <c r="C24" s="118" t="s">
        <v>23</v>
      </c>
      <c r="D24" s="64"/>
      <c r="E24" s="116"/>
      <c r="F24" s="56"/>
      <c r="G24" s="56"/>
      <c r="H24" s="56"/>
      <c r="L24" s="108"/>
      <c r="S24" s="2"/>
    </row>
    <row r="25" spans="1:19" ht="16.5" thickTop="1">
      <c r="A25" s="108"/>
      <c r="C25" s="6"/>
      <c r="D25" s="6"/>
      <c r="L25" s="108"/>
      <c r="S25" s="2"/>
    </row>
    <row r="26" spans="1:19">
      <c r="A26" s="108"/>
      <c r="L26" s="108"/>
      <c r="S26" s="2"/>
    </row>
    <row r="27" spans="1:19">
      <c r="A27" s="108"/>
      <c r="L27" s="108"/>
      <c r="S27" s="2"/>
    </row>
    <row r="28" spans="1:19">
      <c r="A28" s="108"/>
      <c r="B28" s="84"/>
      <c r="L28" s="108"/>
      <c r="S28" s="2"/>
    </row>
    <row r="29" spans="1:19">
      <c r="A29" s="108"/>
      <c r="L29" s="108"/>
      <c r="S29" s="2"/>
    </row>
    <row r="30" spans="1:19">
      <c r="A30" s="3"/>
      <c r="L30" s="108"/>
      <c r="S30" s="2"/>
    </row>
    <row r="31" spans="1:19" ht="6" customHeight="1">
      <c r="A31" s="3"/>
      <c r="L31" s="108"/>
      <c r="S31" s="2"/>
    </row>
    <row r="32" spans="1:19" hidden="1">
      <c r="L32" s="3"/>
      <c r="S32" s="2"/>
    </row>
    <row r="33" spans="1:19" hidden="1">
      <c r="L33" s="3"/>
      <c r="S33" s="2"/>
    </row>
    <row r="34" spans="1:19">
      <c r="A34" s="3"/>
      <c r="L34" s="108"/>
      <c r="S34" s="2"/>
    </row>
    <row r="35" spans="1:19">
      <c r="S35" s="2"/>
    </row>
    <row r="36" spans="1:19">
      <c r="S36" s="2"/>
    </row>
    <row r="37" spans="1:19">
      <c r="S37" s="2"/>
    </row>
    <row r="38" spans="1:19">
      <c r="C38" s="57"/>
      <c r="D38" s="57"/>
      <c r="S38" s="2"/>
    </row>
    <row r="39" spans="1:19">
      <c r="C39" s="58"/>
      <c r="D39" s="58"/>
      <c r="S39" s="2"/>
    </row>
    <row r="40" spans="1:19">
      <c r="S40" s="2"/>
    </row>
    <row r="41" spans="1:19">
      <c r="S41" s="2"/>
    </row>
    <row r="42" spans="1:19">
      <c r="S42" s="2"/>
    </row>
    <row r="43" spans="1:19">
      <c r="S43" s="2"/>
    </row>
    <row r="44" spans="1:19">
      <c r="S44" s="2"/>
    </row>
    <row r="45" spans="1:19">
      <c r="S45" s="2"/>
    </row>
    <row r="46" spans="1:19">
      <c r="S46" s="2"/>
    </row>
    <row r="47" spans="1:19">
      <c r="S47" s="2"/>
    </row>
    <row r="49" spans="18:18">
      <c r="R49"/>
    </row>
    <row r="50" spans="18:18">
      <c r="R50"/>
    </row>
    <row r="51" spans="18:18">
      <c r="R51"/>
    </row>
  </sheetData>
  <sheetProtection password="C9B7" sheet="1" objects="1" scenarios="1" selectLockedCells="1"/>
  <mergeCells count="15">
    <mergeCell ref="F16:G16"/>
    <mergeCell ref="F17:G17"/>
    <mergeCell ref="F18:G18"/>
    <mergeCell ref="F15:G15"/>
    <mergeCell ref="I13:J13"/>
    <mergeCell ref="I14:J14"/>
    <mergeCell ref="I16:J16"/>
    <mergeCell ref="I17:J17"/>
    <mergeCell ref="I18:J18"/>
    <mergeCell ref="I15:J15"/>
    <mergeCell ref="E7:H7"/>
    <mergeCell ref="E8:H8"/>
    <mergeCell ref="E9:H9"/>
    <mergeCell ref="B2:K3"/>
    <mergeCell ref="E10:H10"/>
  </mergeCells>
  <conditionalFormatting sqref="I13:J18">
    <cfRule type="cellIs" dxfId="38" priority="7" operator="equal">
      <formula>0</formula>
    </cfRule>
  </conditionalFormatting>
  <conditionalFormatting sqref="F15:G18">
    <cfRule type="cellIs" dxfId="37" priority="6" operator="equal">
      <formula>0</formula>
    </cfRule>
  </conditionalFormatting>
  <conditionalFormatting sqref="F16:G16">
    <cfRule type="cellIs" dxfId="36" priority="5" operator="equal">
      <formula>0</formula>
    </cfRule>
  </conditionalFormatting>
  <conditionalFormatting sqref="F17:G17">
    <cfRule type="cellIs" dxfId="35" priority="4" operator="equal">
      <formula>0</formula>
    </cfRule>
  </conditionalFormatting>
  <conditionalFormatting sqref="F18:G18">
    <cfRule type="cellIs" dxfId="34" priority="3" operator="equal">
      <formula>0</formula>
    </cfRule>
  </conditionalFormatting>
  <conditionalFormatting sqref="F15:G15">
    <cfRule type="cellIs" dxfId="33" priority="2" operator="equal">
      <formula>0</formula>
    </cfRule>
  </conditionalFormatting>
  <conditionalFormatting sqref="F15:G15">
    <cfRule type="cellIs" dxfId="32" priority="1" operator="equal">
      <formula>0</formula>
    </cfRule>
  </conditionalFormatting>
  <dataValidations count="13">
    <dataValidation type="list" showInputMessage="1" showErrorMessage="1" prompt="Crecimiento aritmético sobre valor Asegurado Inicial" sqref="E23">
      <formula1>$N$5:$N$7</formula1>
    </dataValidation>
    <dataValidation type="list" showInputMessage="1" showErrorMessage="1" promptTitle="Importante" prompt="El fraccionamiento de primas aplica desde un Valor Asegurado de  30 millones de pesos" sqref="E24">
      <formula1>$Q$1:$Q$4</formula1>
    </dataValidation>
    <dataValidation type="list" showInputMessage="1" showErrorMessage="1" sqref="E13:E21">
      <formula1>$N$1:$N$2</formula1>
    </dataValidation>
    <dataValidation type="whole" allowBlank="1" showInputMessage="1" showErrorMessage="1" promptTitle="Valor Mínimo Asegurado" prompt="Si incluye esta cobertura el valor mínimo asegurable es de 20 millones de pesos" sqref="H16">
      <formula1>0</formula1>
      <formula2>2000000000</formula2>
    </dataValidation>
    <dataValidation type="whole" allowBlank="1" showInputMessage="1" showErrorMessage="1" errorTitle="Edad" error="Edad fuera de los rangos establecidos" promptTitle="Edades de Ingreso" prompt="Edad Mínima:12 años_x000a_Edades Máximas de ingreso: _x000a_Muerte Accidental: 68 años_x000a_Anexos: 65 años_x000a_" sqref="H10:H11 F10:G10">
      <formula1>12</formula1>
      <formula2>68</formula2>
    </dataValidation>
    <dataValidation type="list" allowBlank="1" showInputMessage="1" showErrorMessage="1" sqref="E8:H8">
      <formula1>$Q$7:$Q$8</formula1>
    </dataValidation>
    <dataValidation allowBlank="1" showInputMessage="1" showErrorMessage="1" promptTitle="Valores Mínimos y Máximos" sqref="H19:H21"/>
    <dataValidation type="whole" allowBlank="1" showInputMessage="1" showErrorMessage="1" errorTitle="Edad" error="Edad fuera de los rangos establecidos" promptTitle="Edades de Ingreso" prompt="Edad Mínima:18 años_x000a_Edad máxima de Ingreso: 69 años_x000a_" sqref="E9:H9">
      <formula1>18</formula1>
      <formula2>69</formula2>
    </dataValidation>
    <dataValidation type="whole" allowBlank="1" showInputMessage="1" showErrorMessage="1" error="El Valor Máximo Asegurado de enfermedades graves es de $900 millones de pesos" promptTitle="Valor Mínimo Asegurado" prompt="Si incluye esta cobertura el valor mínimo asegurable es de 20 millones de pesos" sqref="H17">
      <formula1>0</formula1>
      <formula2>900000000</formula2>
    </dataValidation>
    <dataValidation allowBlank="1" showInputMessage="1" showErrorMessage="1" promptTitle="Único Valor Asegurado" prompt="Para todos los casos, el valor del Auxilio Funerario es de $7.000.000" sqref="H14"/>
    <dataValidation type="whole" allowBlank="1" showInputMessage="1" showErrorMessage="1" error="Valor mínimo Asegurado de 20 millones de pesos" promptTitle="Valores Mínimos y Máximos" prompt="Valor mínimo Asegurado de 20 millones de pesos" sqref="H13">
      <formula1>20000000</formula1>
      <formula2>12000000001</formula2>
    </dataValidation>
    <dataValidation type="whole" allowBlank="1" showInputMessage="1" showErrorMessage="1" promptTitle="Valor Mínimo" prompt="Si incluye esta cobertura el valor mínimo asegurable es de 20 millones de pesos" sqref="H15">
      <formula1>0</formula1>
      <formula2>2000000000</formula2>
    </dataValidation>
    <dataValidation allowBlank="1" showInputMessage="1" showErrorMessage="1" promptTitle="Valores Máximos" prompt="Personas Dependientes: 20.000 pesos diarios_x000a_Otros: según Ingresos Mensuales, máximo 500.000" sqref="H18"/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scale="90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I171"/>
  <sheetViews>
    <sheetView showGridLines="0" showRowColHeaders="0" tabSelected="1" zoomScale="77" zoomScaleNormal="77" workbookViewId="0">
      <selection activeCell="E29" sqref="E29"/>
    </sheetView>
  </sheetViews>
  <sheetFormatPr baseColWidth="10" defaultColWidth="18.42578125" defaultRowHeight="15"/>
  <cols>
    <col min="1" max="1" width="2.5703125" style="12" customWidth="1"/>
    <col min="2" max="2" width="10.28515625" style="12" customWidth="1"/>
    <col min="3" max="3" width="9.28515625" style="12" customWidth="1"/>
    <col min="4" max="4" width="16.140625" style="12" customWidth="1"/>
    <col min="5" max="5" width="15.85546875" style="12" customWidth="1"/>
    <col min="6" max="6" width="14.42578125" style="12" customWidth="1"/>
    <col min="7" max="7" width="2.42578125" style="12" customWidth="1"/>
    <col min="8" max="8" width="3" style="12" customWidth="1"/>
    <col min="9" max="9" width="9.7109375" style="12" customWidth="1"/>
    <col min="10" max="10" width="9.42578125" style="12" customWidth="1"/>
    <col min="11" max="11" width="18.140625" style="12" customWidth="1"/>
    <col min="12" max="12" width="16.28515625" style="12" bestFit="1" customWidth="1"/>
    <col min="13" max="13" width="10.85546875" style="12" customWidth="1"/>
    <col min="14" max="14" width="16" style="12" hidden="1" customWidth="1"/>
    <col min="15" max="15" width="12.5703125" style="12" hidden="1" customWidth="1"/>
    <col min="16" max="16" width="18.42578125" style="12" hidden="1" customWidth="1"/>
    <col min="17" max="17" width="10.140625" style="12" hidden="1" customWidth="1"/>
    <col min="18" max="18" width="10" style="12" hidden="1" customWidth="1"/>
    <col min="19" max="19" width="4.7109375" style="12" hidden="1" customWidth="1"/>
    <col min="20" max="20" width="3.140625" style="12" hidden="1" customWidth="1"/>
    <col min="21" max="21" width="2.28515625" style="12" hidden="1" customWidth="1"/>
    <col min="22" max="25" width="18.42578125" style="12" hidden="1" customWidth="1"/>
    <col min="26" max="26" width="2.85546875" style="12" hidden="1" customWidth="1"/>
    <col min="27" max="27" width="18.42578125" style="12" hidden="1" customWidth="1"/>
    <col min="28" max="28" width="18.140625" style="12" hidden="1" customWidth="1"/>
    <col min="29" max="29" width="6.140625" style="12" hidden="1" customWidth="1"/>
    <col min="30" max="30" width="3.7109375" style="12" hidden="1" customWidth="1"/>
    <col min="31" max="32" width="9.28515625" style="12" hidden="1" customWidth="1"/>
    <col min="33" max="16384" width="18.42578125" style="12"/>
  </cols>
  <sheetData>
    <row r="1" spans="1:29" ht="18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8" t="s">
        <v>6</v>
      </c>
      <c r="O1" s="9">
        <v>1066176</v>
      </c>
      <c r="P1" s="4"/>
      <c r="Q1" s="10"/>
      <c r="R1" s="4"/>
      <c r="S1" s="11"/>
      <c r="T1" s="4"/>
      <c r="Z1" s="13"/>
    </row>
    <row r="2" spans="1:29">
      <c r="A2" s="4"/>
      <c r="B2" s="4"/>
      <c r="C2" s="4"/>
      <c r="D2" s="4"/>
      <c r="E2" s="4"/>
      <c r="F2" s="4"/>
      <c r="G2" s="4"/>
      <c r="H2" s="4"/>
      <c r="I2" s="14" t="s">
        <v>7</v>
      </c>
      <c r="J2" s="4"/>
      <c r="K2" s="4"/>
      <c r="L2" s="4"/>
      <c r="M2" s="4"/>
      <c r="N2" s="14" t="s">
        <v>8</v>
      </c>
      <c r="O2" s="9">
        <f>+Inicio!E7</f>
        <v>0</v>
      </c>
      <c r="P2" s="4"/>
      <c r="Q2" s="10"/>
      <c r="R2" s="4"/>
      <c r="S2" s="11"/>
      <c r="T2" s="4"/>
    </row>
    <row r="3" spans="1:29">
      <c r="A3" s="4"/>
      <c r="B3" s="4"/>
      <c r="C3" s="4"/>
      <c r="D3" s="4"/>
      <c r="E3" s="4"/>
      <c r="F3" s="4"/>
      <c r="G3" s="4"/>
      <c r="H3" s="4"/>
      <c r="I3" s="14"/>
      <c r="J3" s="4"/>
      <c r="K3" s="4"/>
      <c r="L3" s="4"/>
      <c r="M3" s="4"/>
      <c r="N3" s="15" t="s">
        <v>1</v>
      </c>
      <c r="O3" s="16" t="e">
        <f>IF(Inicio!#REF!="Modulo 3","Paquete 3",IF(Inicio!#REF!="Modulo 2","Paquete 2","Paquete 1"))</f>
        <v>#REF!</v>
      </c>
      <c r="P3" s="4"/>
      <c r="Q3" s="10"/>
      <c r="R3" s="4"/>
      <c r="S3" s="11"/>
      <c r="T3" s="4"/>
    </row>
    <row r="4" spans="1:29">
      <c r="A4" s="4"/>
      <c r="B4" s="4"/>
      <c r="C4" s="4"/>
      <c r="D4" s="4"/>
      <c r="E4" s="4"/>
      <c r="F4" s="4"/>
      <c r="G4" s="4"/>
      <c r="H4" s="4"/>
      <c r="I4" s="17" t="s">
        <v>28</v>
      </c>
      <c r="J4" s="4"/>
      <c r="K4" s="4"/>
      <c r="L4" s="4"/>
      <c r="M4" s="4"/>
      <c r="N4" s="15" t="s">
        <v>9</v>
      </c>
      <c r="O4" s="18"/>
      <c r="P4" s="4"/>
      <c r="Q4" s="4"/>
      <c r="R4" s="4"/>
      <c r="S4" s="4"/>
      <c r="T4" s="4"/>
    </row>
    <row r="5" spans="1:29">
      <c r="A5" s="4"/>
      <c r="B5" s="4"/>
      <c r="C5" s="4"/>
      <c r="D5" s="4"/>
      <c r="E5" s="4"/>
      <c r="F5" s="4"/>
      <c r="G5" s="4"/>
      <c r="H5" s="4"/>
      <c r="I5" s="19"/>
      <c r="J5" s="4"/>
      <c r="K5" s="4"/>
      <c r="L5" s="4"/>
      <c r="M5" s="4"/>
      <c r="N5" s="15" t="s">
        <v>3</v>
      </c>
      <c r="O5" s="20" t="e">
        <f>+Inicio!#REF!</f>
        <v>#REF!</v>
      </c>
      <c r="P5" s="4"/>
      <c r="Q5" s="4"/>
      <c r="R5" s="4"/>
      <c r="S5" s="4"/>
      <c r="T5" s="4"/>
    </row>
    <row r="6" spans="1:29">
      <c r="A6" s="4"/>
      <c r="B6" s="4"/>
      <c r="C6" s="4"/>
      <c r="D6" s="4"/>
      <c r="E6" s="4"/>
      <c r="F6" s="4"/>
      <c r="G6" s="4"/>
      <c r="H6" s="4"/>
      <c r="I6" s="14"/>
      <c r="J6" s="4"/>
      <c r="K6" s="4"/>
      <c r="L6" s="4"/>
      <c r="M6" s="4"/>
      <c r="N6" s="15" t="s">
        <v>10</v>
      </c>
      <c r="O6" s="21">
        <f>+Inicio!E23</f>
        <v>0.03</v>
      </c>
      <c r="P6" s="4"/>
      <c r="Q6" s="4"/>
      <c r="R6" s="4"/>
      <c r="S6" s="4"/>
      <c r="T6" s="4"/>
    </row>
    <row r="7" spans="1:29" ht="17.25" customHeight="1">
      <c r="A7" s="4"/>
      <c r="B7" s="4"/>
      <c r="C7" s="4"/>
      <c r="D7" s="4"/>
      <c r="E7" s="4"/>
      <c r="F7" s="4"/>
      <c r="G7" s="4"/>
      <c r="H7" s="4"/>
      <c r="I7" s="14"/>
      <c r="J7" s="4"/>
      <c r="K7" s="4"/>
      <c r="L7" s="4"/>
      <c r="M7" s="4"/>
      <c r="N7" s="15" t="s">
        <v>11</v>
      </c>
      <c r="O7" s="22" t="e">
        <f>+Inicio!#REF!</f>
        <v>#REF!</v>
      </c>
      <c r="P7" s="4"/>
      <c r="Q7" s="4"/>
      <c r="R7" s="4"/>
      <c r="S7" s="4"/>
      <c r="T7" s="4"/>
    </row>
    <row r="8" spans="1:29">
      <c r="A8" s="4"/>
      <c r="B8" s="23"/>
      <c r="C8" s="23"/>
      <c r="D8" s="23"/>
      <c r="E8" s="23"/>
      <c r="F8" s="23"/>
      <c r="G8" s="23"/>
      <c r="H8" s="23"/>
      <c r="I8" s="24"/>
      <c r="J8" s="4"/>
      <c r="K8" s="4"/>
      <c r="L8" s="4"/>
      <c r="M8" s="4"/>
      <c r="N8" s="14">
        <v>0</v>
      </c>
      <c r="O8" s="4">
        <f>+Inicio!O28</f>
        <v>0</v>
      </c>
      <c r="P8" s="4"/>
      <c r="Q8" s="4"/>
      <c r="R8" s="4"/>
      <c r="S8" s="4"/>
      <c r="T8" s="4"/>
    </row>
    <row r="9" spans="1:29" ht="21.75" customHeight="1">
      <c r="A9" s="4"/>
      <c r="B9" s="92" t="s">
        <v>39</v>
      </c>
      <c r="C9" s="68"/>
      <c r="D9" s="87">
        <f ca="1">+TODAY()</f>
        <v>43293</v>
      </c>
      <c r="E9" s="93" t="s">
        <v>12</v>
      </c>
      <c r="F9" s="140">
        <f ca="1">+D9+365</f>
        <v>43658</v>
      </c>
      <c r="G9" s="140"/>
      <c r="H9" s="140"/>
      <c r="I9" s="88"/>
      <c r="J9" s="89"/>
      <c r="K9" s="4"/>
      <c r="L9" s="4"/>
      <c r="M9" s="14"/>
      <c r="N9" s="51" t="s">
        <v>4</v>
      </c>
      <c r="O9" s="52" t="e">
        <f>+Inicio!#REF!*Inicio!E23</f>
        <v>#REF!</v>
      </c>
      <c r="P9" s="14"/>
      <c r="Q9" s="14"/>
      <c r="R9" s="14"/>
      <c r="S9" s="14"/>
      <c r="T9" s="14"/>
      <c r="U9" s="25"/>
      <c r="V9" s="25"/>
      <c r="W9" s="25"/>
      <c r="X9" s="25"/>
      <c r="Y9" s="25"/>
      <c r="Z9" s="25"/>
      <c r="AA9" s="25"/>
      <c r="AB9" s="25"/>
      <c r="AC9" s="25"/>
    </row>
    <row r="10" spans="1:29" ht="15.7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9" ht="33" customHeight="1">
      <c r="B11" s="143" t="s">
        <v>2</v>
      </c>
      <c r="C11" s="143"/>
      <c r="D11" s="143"/>
      <c r="E11" s="54">
        <f>+O2</f>
        <v>0</v>
      </c>
      <c r="F11" s="26"/>
      <c r="I11" s="90"/>
      <c r="J11" s="50"/>
      <c r="K11" s="50"/>
      <c r="L11" s="91"/>
      <c r="T11" s="4"/>
    </row>
    <row r="12" spans="1:29" ht="18.75">
      <c r="B12" s="12" t="s">
        <v>13</v>
      </c>
      <c r="C12" s="49"/>
      <c r="D12" s="49"/>
      <c r="E12" s="48">
        <f ca="1">+TODAY()</f>
        <v>43293</v>
      </c>
      <c r="F12" s="48"/>
      <c r="H12" s="48"/>
      <c r="I12" s="139" t="s">
        <v>69</v>
      </c>
      <c r="J12" s="139"/>
      <c r="K12" s="139"/>
      <c r="L12" s="139"/>
      <c r="M12" s="139"/>
      <c r="T12" s="4"/>
    </row>
    <row r="13" spans="1:29">
      <c r="B13" s="138" t="s">
        <v>14</v>
      </c>
      <c r="C13" s="138"/>
      <c r="D13" s="138"/>
      <c r="E13" s="48">
        <f ca="1">+D9</f>
        <v>43293</v>
      </c>
      <c r="F13" s="48"/>
      <c r="I13" s="101" t="s">
        <v>42</v>
      </c>
      <c r="J13" s="66"/>
      <c r="K13" s="67"/>
      <c r="L13" s="141">
        <f>+Inicio!H13</f>
        <v>1500000000</v>
      </c>
      <c r="M13" s="142"/>
      <c r="N13" s="4"/>
      <c r="O13" s="4"/>
      <c r="P13" s="4"/>
      <c r="Q13" s="4"/>
      <c r="R13" s="4"/>
      <c r="S13" s="4"/>
      <c r="T13" s="4"/>
    </row>
    <row r="14" spans="1:29">
      <c r="B14" s="138" t="s">
        <v>15</v>
      </c>
      <c r="C14" s="138"/>
      <c r="D14" s="138"/>
      <c r="E14" s="48">
        <f ca="1">+F9</f>
        <v>43658</v>
      </c>
      <c r="F14" s="48"/>
      <c r="I14" s="101" t="s">
        <v>79</v>
      </c>
      <c r="J14" s="66"/>
      <c r="K14" s="67"/>
      <c r="L14" s="141">
        <f>+Inicio!H14</f>
        <v>7000000</v>
      </c>
      <c r="M14" s="142"/>
      <c r="N14" s="4"/>
      <c r="O14" s="4"/>
      <c r="P14" s="4"/>
      <c r="Q14" s="4"/>
      <c r="R14" s="4"/>
      <c r="S14" s="4"/>
      <c r="T14" s="4"/>
    </row>
    <row r="15" spans="1:29">
      <c r="B15" s="12" t="s">
        <v>16</v>
      </c>
      <c r="C15" s="49"/>
      <c r="D15" s="49"/>
      <c r="I15" s="101" t="s">
        <v>65</v>
      </c>
      <c r="J15" s="66"/>
      <c r="K15" s="67"/>
      <c r="L15" s="141">
        <f>+Inicio!H15</f>
        <v>1500000000</v>
      </c>
      <c r="M15" s="142"/>
      <c r="N15" s="4"/>
      <c r="O15" s="4"/>
      <c r="P15" s="4"/>
      <c r="Q15" s="4"/>
      <c r="R15" s="4"/>
      <c r="S15" s="4"/>
      <c r="T15" s="4"/>
    </row>
    <row r="16" spans="1:29">
      <c r="B16" s="55" t="s">
        <v>29</v>
      </c>
      <c r="C16" s="27"/>
      <c r="D16" s="27"/>
      <c r="E16" s="28">
        <f>+O6</f>
        <v>0.03</v>
      </c>
      <c r="F16" s="28"/>
      <c r="I16" s="101" t="s">
        <v>70</v>
      </c>
      <c r="J16" s="66"/>
      <c r="K16" s="67"/>
      <c r="L16" s="141">
        <f>+Inicio!H16</f>
        <v>1500000000</v>
      </c>
      <c r="M16" s="142"/>
      <c r="N16" s="4"/>
      <c r="O16" s="4"/>
      <c r="P16" s="4"/>
      <c r="Q16" s="4"/>
      <c r="R16" s="4"/>
      <c r="S16" s="4"/>
      <c r="T16" s="4"/>
    </row>
    <row r="17" spans="1:35" ht="14.25" customHeight="1">
      <c r="B17" s="12" t="s">
        <v>17</v>
      </c>
      <c r="C17" s="27"/>
      <c r="D17" s="27"/>
      <c r="E17" s="47">
        <f>+Inicio!E9</f>
        <v>51</v>
      </c>
      <c r="F17" s="47"/>
      <c r="H17" s="29"/>
      <c r="I17" s="101" t="s">
        <v>77</v>
      </c>
      <c r="J17" s="66"/>
      <c r="K17" s="67"/>
      <c r="L17" s="141">
        <f>+Inicio!H17</f>
        <v>0</v>
      </c>
      <c r="M17" s="142"/>
      <c r="N17" s="4"/>
      <c r="O17" s="4"/>
      <c r="P17" s="4"/>
      <c r="Q17" s="4"/>
      <c r="R17" s="4"/>
      <c r="S17" s="4"/>
      <c r="T17" s="4"/>
    </row>
    <row r="18" spans="1:35" ht="28.5" customHeight="1">
      <c r="B18" s="12" t="s">
        <v>5</v>
      </c>
      <c r="C18" s="27"/>
      <c r="D18" s="27"/>
      <c r="E18" s="47" t="s">
        <v>22</v>
      </c>
      <c r="F18" s="47"/>
      <c r="H18" s="29"/>
      <c r="I18" s="152" t="s">
        <v>78</v>
      </c>
      <c r="J18" s="153"/>
      <c r="K18" s="154"/>
      <c r="L18" s="141">
        <f>+Inicio!H18</f>
        <v>0</v>
      </c>
      <c r="M18" s="142"/>
      <c r="N18" s="4"/>
      <c r="O18" s="4"/>
      <c r="P18" s="4"/>
      <c r="Q18" s="4"/>
      <c r="R18" s="4"/>
      <c r="S18" s="4"/>
      <c r="T18" s="4"/>
      <c r="U18" s="30">
        <f>++IF(M18&lt;&gt;Z1,1,0)</f>
        <v>0</v>
      </c>
    </row>
    <row r="19" spans="1:35" ht="19.5" customHeight="1">
      <c r="I19" s="101" t="s">
        <v>67</v>
      </c>
      <c r="J19" s="66"/>
      <c r="K19" s="67"/>
      <c r="L19" s="141">
        <f>+Inicio!E19</f>
        <v>0</v>
      </c>
      <c r="M19" s="142"/>
      <c r="N19" s="4"/>
      <c r="O19" s="4"/>
      <c r="P19" s="4"/>
      <c r="Q19" s="4"/>
      <c r="R19" s="4"/>
      <c r="S19" s="4"/>
      <c r="T19" s="4"/>
      <c r="U19" s="30"/>
    </row>
    <row r="20" spans="1:35">
      <c r="B20" s="94" t="s">
        <v>23</v>
      </c>
      <c r="C20" s="95"/>
      <c r="D20" s="95"/>
      <c r="E20" s="96">
        <f>+Inicio!E24</f>
        <v>0</v>
      </c>
      <c r="I20" s="101" t="s">
        <v>57</v>
      </c>
      <c r="J20" s="66"/>
      <c r="K20" s="67"/>
      <c r="L20" s="141">
        <f>+Inicio!E20</f>
        <v>0</v>
      </c>
      <c r="M20" s="142"/>
      <c r="N20" s="4"/>
      <c r="O20" s="4"/>
      <c r="P20" s="4"/>
      <c r="Q20" s="4"/>
      <c r="R20" s="4"/>
      <c r="S20" s="4"/>
      <c r="T20" s="4"/>
      <c r="U20" s="30"/>
    </row>
    <row r="21" spans="1:35">
      <c r="B21" s="85"/>
      <c r="C21" s="7"/>
      <c r="D21" s="7"/>
      <c r="E21" s="86"/>
      <c r="I21" s="101" t="s">
        <v>58</v>
      </c>
      <c r="J21" s="66"/>
      <c r="K21" s="67"/>
      <c r="L21" s="141">
        <f>+Inicio!E21</f>
        <v>0</v>
      </c>
      <c r="M21" s="142"/>
      <c r="N21" s="4"/>
      <c r="O21" s="4"/>
      <c r="P21" s="4"/>
      <c r="Q21" s="4"/>
      <c r="R21" s="4"/>
      <c r="S21" s="4"/>
      <c r="T21" s="4"/>
      <c r="U21" s="30"/>
    </row>
    <row r="22" spans="1:35">
      <c r="A22" s="99" t="s">
        <v>40</v>
      </c>
      <c r="B22" s="85" t="s">
        <v>71</v>
      </c>
      <c r="C22" s="7"/>
      <c r="D22" s="7"/>
      <c r="E22" s="86"/>
      <c r="I22" s="69"/>
      <c r="J22" s="68"/>
      <c r="K22" s="68"/>
      <c r="L22" s="31"/>
      <c r="M22" s="31"/>
      <c r="N22" s="4"/>
      <c r="O22" s="4"/>
      <c r="P22" s="4"/>
      <c r="Q22" s="4"/>
      <c r="R22" s="4"/>
      <c r="S22" s="4"/>
      <c r="T22" s="4"/>
      <c r="U22" s="30"/>
    </row>
    <row r="23" spans="1:35" ht="3" hidden="1" customHeight="1">
      <c r="L23" s="31"/>
      <c r="N23" s="4"/>
      <c r="O23" s="4"/>
      <c r="P23" s="4"/>
      <c r="Q23" s="4"/>
      <c r="R23" s="4"/>
      <c r="S23" s="4"/>
      <c r="T23" s="4"/>
    </row>
    <row r="24" spans="1:35" s="32" customFormat="1" ht="36" hidden="1" customHeight="1"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T24" s="34"/>
    </row>
    <row r="25" spans="1:35" s="32" customFormat="1" ht="18" hidden="1" customHeight="1">
      <c r="B25" s="33"/>
      <c r="T25" s="34"/>
    </row>
    <row r="26" spans="1:35" ht="30" customHeight="1" thickBot="1">
      <c r="I26" s="35"/>
      <c r="J26" s="35"/>
      <c r="K26" s="36">
        <f>+C59</f>
        <v>81</v>
      </c>
      <c r="L26" s="35"/>
      <c r="M26" s="35"/>
      <c r="N26" s="35"/>
      <c r="O26" s="35"/>
      <c r="T26" s="4"/>
    </row>
    <row r="27" spans="1:35" ht="16.5" thickTop="1" thickBot="1">
      <c r="A27" s="4"/>
      <c r="B27" s="147" t="s">
        <v>68</v>
      </c>
      <c r="C27" s="148"/>
      <c r="D27" s="148"/>
      <c r="E27" s="149"/>
      <c r="F27" s="151">
        <f>+Inicio!H13</f>
        <v>1500000000</v>
      </c>
      <c r="G27" s="151"/>
      <c r="H27" s="151"/>
      <c r="L27" s="7"/>
      <c r="M27" s="53"/>
      <c r="N27" s="37"/>
      <c r="O27" s="37"/>
      <c r="P27" s="4"/>
      <c r="Q27" s="4"/>
      <c r="R27" s="4"/>
      <c r="S27" s="4"/>
      <c r="T27" s="4"/>
    </row>
    <row r="28" spans="1:35" ht="47.25" customHeight="1" thickTop="1" thickBot="1">
      <c r="A28" s="4"/>
      <c r="B28" s="102" t="s">
        <v>18</v>
      </c>
      <c r="C28" s="102" t="s">
        <v>0</v>
      </c>
      <c r="D28" s="103" t="s">
        <v>76</v>
      </c>
      <c r="E28" s="104" t="s">
        <v>30</v>
      </c>
      <c r="F28" s="59" t="s">
        <v>27</v>
      </c>
      <c r="H28" s="38"/>
      <c r="I28" s="105" t="s">
        <v>18</v>
      </c>
      <c r="J28" s="105" t="str">
        <f>+IF(J29="","","Edad")</f>
        <v>Edad</v>
      </c>
      <c r="K28" s="105" t="str">
        <f>+IF(K29="","","Valor asegurado")</f>
        <v>Valor asegurado</v>
      </c>
      <c r="L28" s="103" t="str">
        <f>+IF(L29="","","PRIMA COMERCIAL ANUAL")</f>
        <v>PRIMA COMERCIAL ANUAL</v>
      </c>
      <c r="M28" s="59" t="s">
        <v>27</v>
      </c>
      <c r="N28" s="4"/>
      <c r="O28" s="4"/>
      <c r="P28" s="4"/>
      <c r="Q28" s="4"/>
      <c r="R28" s="4"/>
      <c r="S28" s="4"/>
      <c r="T28" s="4"/>
    </row>
    <row r="29" spans="1:35" ht="15.75" thickTop="1">
      <c r="A29" s="4"/>
      <c r="B29" s="39">
        <v>1</v>
      </c>
      <c r="C29" s="39">
        <f>Inicio!E9</f>
        <v>51</v>
      </c>
      <c r="D29" s="39">
        <f>VLOOKUP(C29,Primas!$N$3:$AH$79,2,0)</f>
        <v>1500000000</v>
      </c>
      <c r="E29" s="39">
        <f>VLOOKUP(C29,Primas!$N$3:$AH$79,21,0)</f>
        <v>11376244</v>
      </c>
      <c r="F29" s="39">
        <f>IF(Inicio!$E$24="Mensual",Cotizador!E29*0.0925,IF(Inicio!$E$24="Trimestral",Cotizador!E29*0.265,IF(Inicio!$E$24="Semestral",Cotizador!E29*0.515,0)))</f>
        <v>0</v>
      </c>
      <c r="H29" s="40"/>
      <c r="I29" s="39">
        <f>+B59+1</f>
        <v>32</v>
      </c>
      <c r="J29" s="39">
        <f>+C59+1</f>
        <v>82</v>
      </c>
      <c r="K29" s="39">
        <f>VLOOKUP(J29,Primas!$N$3:$AH$79,2,0)</f>
        <v>0</v>
      </c>
      <c r="L29" s="39">
        <f>VLOOKUP(J29,Primas!$N$3:$AH$79,21,0)</f>
        <v>0</v>
      </c>
      <c r="M29" s="39">
        <f>IF(Inicio!$E$24="Mensual",Cotizador!L29*0.0925,IF(Inicio!$E$24="Trimestral",Cotizador!L29*0.265,IF(Inicio!$E$24="Semestral",Cotizador!L29*0.515,0)))</f>
        <v>0</v>
      </c>
      <c r="N29" s="4"/>
      <c r="O29" s="4"/>
      <c r="P29" s="4"/>
      <c r="Q29" s="4"/>
      <c r="R29" s="4"/>
      <c r="S29" s="4"/>
      <c r="T29" s="4"/>
    </row>
    <row r="30" spans="1:35">
      <c r="A30" s="4"/>
      <c r="B30" s="39">
        <f>+B29+1</f>
        <v>2</v>
      </c>
      <c r="C30" s="39">
        <f>+C29+1</f>
        <v>52</v>
      </c>
      <c r="D30" s="39">
        <f>VLOOKUP(C30,Primas!$N$3:$AH$79,2,0)</f>
        <v>1545000000</v>
      </c>
      <c r="E30" s="39">
        <f>VLOOKUP(C30,Primas!$N$3:$AH$79,21,0)</f>
        <v>12250929.18</v>
      </c>
      <c r="F30" s="39">
        <f>IF(Inicio!$E$24="Mensual",Cotizador!E30*0.0925,IF(Inicio!$E$24="Trimestral",Cotizador!E30*0.265,IF(Inicio!$E$24="Semestral",Cotizador!E30*0.515,0)))</f>
        <v>0</v>
      </c>
      <c r="H30" s="40"/>
      <c r="I30" s="39">
        <f>+I29+1</f>
        <v>33</v>
      </c>
      <c r="J30" s="39">
        <f>+J29+1</f>
        <v>83</v>
      </c>
      <c r="K30" s="39">
        <f>VLOOKUP(J30,Primas!$N$3:$AH$79,2,0)</f>
        <v>0</v>
      </c>
      <c r="L30" s="39">
        <f>VLOOKUP(J30,Primas!$N$3:$AH$79,21,0)</f>
        <v>0</v>
      </c>
      <c r="M30" s="39">
        <f>IF(Inicio!$E$24="Mensual",Cotizador!L30*0.0925,IF(Inicio!$E$24="Trimestral",Cotizador!L30*0.265,IF(Inicio!$E$24="Semestral",Cotizador!L30*0.515,0)))</f>
        <v>0</v>
      </c>
      <c r="N30" s="4"/>
      <c r="O30" s="4"/>
      <c r="P30" s="4"/>
      <c r="Q30" s="4"/>
      <c r="R30" s="4"/>
      <c r="S30" s="4"/>
      <c r="T30" s="4"/>
      <c r="AI30" s="46"/>
    </row>
    <row r="31" spans="1:35">
      <c r="A31" s="4"/>
      <c r="B31" s="39">
        <f t="shared" ref="B31:B59" si="0">+B30+1</f>
        <v>3</v>
      </c>
      <c r="C31" s="39">
        <f t="shared" ref="C31:C59" si="1">+C30+1</f>
        <v>53</v>
      </c>
      <c r="D31" s="39">
        <f>VLOOKUP(C31,Primas!$N$3:$AH$79,2,0)</f>
        <v>1590000000</v>
      </c>
      <c r="E31" s="39">
        <f>VLOOKUP(C31,Primas!$N$3:$AH$79,21,0)</f>
        <v>13767639.34</v>
      </c>
      <c r="F31" s="39">
        <f>IF(Inicio!$E$24="Mensual",Cotizador!E31*0.0925,IF(Inicio!$E$24="Trimestral",Cotizador!E31*0.265,IF(Inicio!$E$24="Semestral",Cotizador!E31*0.515,0)))</f>
        <v>0</v>
      </c>
      <c r="H31" s="40"/>
      <c r="I31" s="39">
        <f t="shared" ref="I31:I59" si="2">+I30+1</f>
        <v>34</v>
      </c>
      <c r="J31" s="39">
        <f t="shared" ref="J31:J42" si="3">+J30+1</f>
        <v>84</v>
      </c>
      <c r="K31" s="39">
        <f>VLOOKUP(J31,Primas!$N$3:$AH$79,2,0)</f>
        <v>0</v>
      </c>
      <c r="L31" s="39">
        <f>VLOOKUP(J31,Primas!$N$3:$AH$79,21,0)</f>
        <v>0</v>
      </c>
      <c r="M31" s="39">
        <f>IF(Inicio!$E$24="Mensual",Cotizador!L31*0.0925,IF(Inicio!$E$24="Trimestral",Cotizador!L31*0.265,IF(Inicio!$E$24="Semestral",Cotizador!L31*0.515,0)))</f>
        <v>0</v>
      </c>
      <c r="N31" s="4"/>
      <c r="O31" s="4"/>
      <c r="P31" s="4"/>
      <c r="Q31" s="4"/>
      <c r="R31" s="4"/>
      <c r="S31" s="4"/>
      <c r="T31" s="4"/>
    </row>
    <row r="32" spans="1:35">
      <c r="A32" s="4"/>
      <c r="B32" s="39">
        <f t="shared" si="0"/>
        <v>4</v>
      </c>
      <c r="C32" s="39">
        <f t="shared" si="1"/>
        <v>54</v>
      </c>
      <c r="D32" s="39">
        <f>VLOOKUP(C32,Primas!$N$3:$AH$79,2,0)</f>
        <v>1635000000</v>
      </c>
      <c r="E32" s="39">
        <f>VLOOKUP(C32,Primas!$N$3:$AH$79,21,0)</f>
        <v>15031880.440000001</v>
      </c>
      <c r="F32" s="39">
        <f>IF(Inicio!$E$24="Mensual",Cotizador!E32*0.0925,IF(Inicio!$E$24="Trimestral",Cotizador!E32*0.265,IF(Inicio!$E$24="Semestral",Cotizador!E32*0.515,0)))</f>
        <v>0</v>
      </c>
      <c r="H32" s="40"/>
      <c r="I32" s="39">
        <f t="shared" si="2"/>
        <v>35</v>
      </c>
      <c r="J32" s="39">
        <f t="shared" si="3"/>
        <v>85</v>
      </c>
      <c r="K32" s="39">
        <f>VLOOKUP(J32,Primas!$N$3:$AH$79,2,0)</f>
        <v>0</v>
      </c>
      <c r="L32" s="39">
        <f>VLOOKUP(J32,Primas!$N$3:$AH$79,21,0)</f>
        <v>0</v>
      </c>
      <c r="M32" s="39">
        <f>IF(Inicio!$E$24="Mensual",Cotizador!L32*0.0925,IF(Inicio!$E$24="Trimestral",Cotizador!L32*0.265,IF(Inicio!$E$24="Semestral",Cotizador!L32*0.515,0)))</f>
        <v>0</v>
      </c>
      <c r="N32" s="4"/>
      <c r="O32" s="4"/>
      <c r="P32" s="4"/>
      <c r="Q32" s="4"/>
      <c r="R32" s="4"/>
      <c r="S32" s="4"/>
      <c r="T32" s="4"/>
    </row>
    <row r="33" spans="1:20">
      <c r="A33" s="4"/>
      <c r="B33" s="39">
        <f t="shared" si="0"/>
        <v>5</v>
      </c>
      <c r="C33" s="39">
        <f t="shared" si="1"/>
        <v>55</v>
      </c>
      <c r="D33" s="39">
        <f>VLOOKUP(C33,Primas!$N$3:$AH$79,2,0)</f>
        <v>1680000000</v>
      </c>
      <c r="E33" s="39">
        <f>VLOOKUP(C33,Primas!$N$3:$AH$79,21,0)</f>
        <v>17052187.039999999</v>
      </c>
      <c r="F33" s="39">
        <f>IF(Inicio!$E$24="Mensual",Cotizador!E33*0.0925,IF(Inicio!$E$24="Trimestral",Cotizador!E33*0.265,IF(Inicio!$E$24="Semestral",Cotizador!E33*0.515,0)))</f>
        <v>0</v>
      </c>
      <c r="H33" s="40"/>
      <c r="I33" s="39">
        <f t="shared" si="2"/>
        <v>36</v>
      </c>
      <c r="J33" s="39">
        <f t="shared" si="3"/>
        <v>86</v>
      </c>
      <c r="K33" s="39">
        <f>VLOOKUP(J33,Primas!$N$3:$AH$79,2,0)</f>
        <v>0</v>
      </c>
      <c r="L33" s="39">
        <f>VLOOKUP(J33,Primas!$N$3:$AH$79,21,0)</f>
        <v>0</v>
      </c>
      <c r="M33" s="39">
        <f>IF(Inicio!$E$24="Mensual",Cotizador!L33*0.0925,IF(Inicio!$E$24="Trimestral",Cotizador!L33*0.265,IF(Inicio!$E$24="Semestral",Cotizador!L33*0.515,0)))</f>
        <v>0</v>
      </c>
      <c r="N33" s="4"/>
      <c r="O33" s="4"/>
      <c r="P33" s="4"/>
      <c r="Q33" s="4"/>
      <c r="R33" s="4"/>
      <c r="S33" s="4"/>
      <c r="T33" s="4"/>
    </row>
    <row r="34" spans="1:20">
      <c r="A34" s="4"/>
      <c r="B34" s="39">
        <f t="shared" si="0"/>
        <v>6</v>
      </c>
      <c r="C34" s="39">
        <f t="shared" si="1"/>
        <v>56</v>
      </c>
      <c r="D34" s="39">
        <f>VLOOKUP(C34,Primas!$N$3:$AH$79,2,0)</f>
        <v>1725000000</v>
      </c>
      <c r="E34" s="39">
        <f>VLOOKUP(C34,Primas!$N$3:$AH$79,21,0)</f>
        <v>18888717.800000001</v>
      </c>
      <c r="F34" s="39">
        <f>IF(Inicio!$E$24="Mensual",Cotizador!E34*0.0925,IF(Inicio!$E$24="Trimestral",Cotizador!E34*0.265,IF(Inicio!$E$24="Semestral",Cotizador!E34*0.515,0)))</f>
        <v>0</v>
      </c>
      <c r="H34" s="40"/>
      <c r="I34" s="39">
        <f t="shared" si="2"/>
        <v>37</v>
      </c>
      <c r="J34" s="39">
        <f t="shared" si="3"/>
        <v>87</v>
      </c>
      <c r="K34" s="39">
        <f>VLOOKUP(J34,Primas!$N$3:$AH$79,2,0)</f>
        <v>0</v>
      </c>
      <c r="L34" s="39">
        <f>VLOOKUP(J34,Primas!$N$3:$AH$79,21,0)</f>
        <v>0</v>
      </c>
      <c r="M34" s="39">
        <f>IF(Inicio!$E$24="Mensual",Cotizador!L34*0.0925,IF(Inicio!$E$24="Trimestral",Cotizador!L34*0.265,IF(Inicio!$E$24="Semestral",Cotizador!L34*0.515,0)))</f>
        <v>0</v>
      </c>
      <c r="N34" s="4"/>
      <c r="O34" s="4"/>
      <c r="P34" s="4"/>
      <c r="Q34" s="4"/>
      <c r="R34" s="4"/>
      <c r="S34" s="4"/>
      <c r="T34" s="4"/>
    </row>
    <row r="35" spans="1:20">
      <c r="A35" s="4"/>
      <c r="B35" s="39">
        <f t="shared" si="0"/>
        <v>7</v>
      </c>
      <c r="C35" s="39">
        <f t="shared" si="1"/>
        <v>57</v>
      </c>
      <c r="D35" s="39">
        <f>VLOOKUP(C35,Primas!$N$3:$AH$79,2,0)</f>
        <v>1770000000</v>
      </c>
      <c r="E35" s="39">
        <f>VLOOKUP(C35,Primas!$N$3:$AH$79,21,0)</f>
        <v>21056590.240000002</v>
      </c>
      <c r="F35" s="39">
        <f>IF(Inicio!$E$24="Mensual",Cotizador!E35*0.0925,IF(Inicio!$E$24="Trimestral",Cotizador!E35*0.265,IF(Inicio!$E$24="Semestral",Cotizador!E35*0.515,0)))</f>
        <v>0</v>
      </c>
      <c r="H35" s="40"/>
      <c r="I35" s="39">
        <f t="shared" si="2"/>
        <v>38</v>
      </c>
      <c r="J35" s="39">
        <f t="shared" si="3"/>
        <v>88</v>
      </c>
      <c r="K35" s="39">
        <f>VLOOKUP(J35,Primas!$N$3:$AH$79,2,0)</f>
        <v>0</v>
      </c>
      <c r="L35" s="39">
        <f>VLOOKUP(J35,Primas!$N$3:$AH$79,21,0)</f>
        <v>0</v>
      </c>
      <c r="M35" s="39">
        <f>IF(Inicio!$E$24="Mensual",Cotizador!L35*0.0925,IF(Inicio!$E$24="Trimestral",Cotizador!L35*0.265,IF(Inicio!$E$24="Semestral",Cotizador!L35*0.515,0)))</f>
        <v>0</v>
      </c>
      <c r="N35" s="4"/>
      <c r="O35" s="4"/>
      <c r="P35" s="4"/>
      <c r="Q35" s="4"/>
      <c r="R35" s="4"/>
      <c r="S35" s="4"/>
      <c r="T35" s="4"/>
    </row>
    <row r="36" spans="1:20">
      <c r="A36" s="4"/>
      <c r="B36" s="39">
        <f t="shared" si="0"/>
        <v>8</v>
      </c>
      <c r="C36" s="39">
        <f t="shared" si="1"/>
        <v>58</v>
      </c>
      <c r="D36" s="39">
        <f>VLOOKUP(C36,Primas!$N$3:$AH$79,2,0)</f>
        <v>1815000000</v>
      </c>
      <c r="E36" s="39">
        <f>VLOOKUP(C36,Primas!$N$3:$AH$79,21,0)</f>
        <v>24183737.600000001</v>
      </c>
      <c r="F36" s="39">
        <f>IF(Inicio!$E$24="Mensual",Cotizador!E36*0.0925,IF(Inicio!$E$24="Trimestral",Cotizador!E36*0.265,IF(Inicio!$E$24="Semestral",Cotizador!E36*0.515,0)))</f>
        <v>0</v>
      </c>
      <c r="H36" s="40"/>
      <c r="I36" s="39">
        <f t="shared" si="2"/>
        <v>39</v>
      </c>
      <c r="J36" s="39">
        <f t="shared" si="3"/>
        <v>89</v>
      </c>
      <c r="K36" s="39">
        <f>VLOOKUP(J36,Primas!$N$3:$AH$79,2,0)</f>
        <v>0</v>
      </c>
      <c r="L36" s="39">
        <f>VLOOKUP(J36,Primas!$N$3:$AH$79,21,0)</f>
        <v>0</v>
      </c>
      <c r="M36" s="39">
        <f>IF(Inicio!$E$24="Mensual",Cotizador!L36*0.0925,IF(Inicio!$E$24="Trimestral",Cotizador!L36*0.265,IF(Inicio!$E$24="Semestral",Cotizador!L36*0.515,0)))</f>
        <v>0</v>
      </c>
      <c r="N36" s="4"/>
      <c r="O36" s="4"/>
      <c r="P36" s="4"/>
      <c r="Q36" s="4"/>
      <c r="R36" s="4"/>
      <c r="S36" s="4"/>
      <c r="T36" s="4"/>
    </row>
    <row r="37" spans="1:20">
      <c r="A37" s="4"/>
      <c r="B37" s="39">
        <f t="shared" si="0"/>
        <v>9</v>
      </c>
      <c r="C37" s="39">
        <f t="shared" si="1"/>
        <v>59</v>
      </c>
      <c r="D37" s="39">
        <f>VLOOKUP(C37,Primas!$N$3:$AH$79,2,0)</f>
        <v>1860000000</v>
      </c>
      <c r="E37" s="39">
        <f>VLOOKUP(C37,Primas!$N$3:$AH$79,21,0)</f>
        <v>27142846.079999998</v>
      </c>
      <c r="F37" s="39">
        <f>IF(Inicio!$E$24="Mensual",Cotizador!E37*0.0925,IF(Inicio!$E$24="Trimestral",Cotizador!E37*0.265,IF(Inicio!$E$24="Semestral",Cotizador!E37*0.515,0)))</f>
        <v>0</v>
      </c>
      <c r="H37" s="40"/>
      <c r="I37" s="39">
        <f t="shared" si="2"/>
        <v>40</v>
      </c>
      <c r="J37" s="39">
        <f t="shared" si="3"/>
        <v>90</v>
      </c>
      <c r="K37" s="39">
        <f>VLOOKUP(J37,Primas!$N$3:$AH$79,2,0)</f>
        <v>0</v>
      </c>
      <c r="L37" s="39">
        <f>VLOOKUP(J37,Primas!$N$3:$AH$79,21,0)</f>
        <v>0</v>
      </c>
      <c r="M37" s="39">
        <f>IF(Inicio!$E$24="Mensual",Cotizador!L37*0.0925,IF(Inicio!$E$24="Trimestral",Cotizador!L37*0.265,IF(Inicio!$E$24="Semestral",Cotizador!L37*0.515,0)))</f>
        <v>0</v>
      </c>
      <c r="N37" s="4"/>
      <c r="O37" s="4"/>
      <c r="P37" s="4"/>
      <c r="Q37" s="4"/>
      <c r="R37" s="4"/>
      <c r="S37" s="4"/>
      <c r="T37" s="4"/>
    </row>
    <row r="38" spans="1:20">
      <c r="A38" s="4"/>
      <c r="B38" s="39">
        <f t="shared" si="0"/>
        <v>10</v>
      </c>
      <c r="C38" s="39">
        <f t="shared" si="1"/>
        <v>60</v>
      </c>
      <c r="D38" s="39">
        <f>VLOOKUP(C38,Primas!$N$3:$AH$79,2,0)</f>
        <v>1905000000</v>
      </c>
      <c r="E38" s="39">
        <f>VLOOKUP(C38,Primas!$N$3:$AH$79,21,0)</f>
        <v>31034142.91</v>
      </c>
      <c r="F38" s="39">
        <f>IF(Inicio!$E$24="Mensual",Cotizador!E38*0.0925,IF(Inicio!$E$24="Trimestral",Cotizador!E38*0.265,IF(Inicio!$E$24="Semestral",Cotizador!E38*0.515,0)))</f>
        <v>0</v>
      </c>
      <c r="H38" s="40"/>
      <c r="I38" s="39">
        <f t="shared" si="2"/>
        <v>41</v>
      </c>
      <c r="J38" s="39">
        <f t="shared" si="3"/>
        <v>91</v>
      </c>
      <c r="K38" s="39">
        <f>VLOOKUP(J38,Primas!$N$3:$AH$79,2,0)</f>
        <v>0</v>
      </c>
      <c r="L38" s="39">
        <f>VLOOKUP(J38,Primas!$N$3:$AH$79,21,0)</f>
        <v>0</v>
      </c>
      <c r="M38" s="39">
        <f>IF(Inicio!$E$24="Mensual",Cotizador!L38*0.0925,IF(Inicio!$E$24="Trimestral",Cotizador!L38*0.265,IF(Inicio!$E$24="Semestral",Cotizador!L38*0.515,0)))</f>
        <v>0</v>
      </c>
      <c r="N38" s="4"/>
      <c r="O38" s="4"/>
      <c r="P38" s="4"/>
      <c r="Q38" s="4"/>
      <c r="R38" s="4"/>
      <c r="S38" s="4"/>
      <c r="T38" s="4"/>
    </row>
    <row r="39" spans="1:20">
      <c r="A39" s="4"/>
      <c r="B39" s="39">
        <f t="shared" si="0"/>
        <v>11</v>
      </c>
      <c r="C39" s="39">
        <f t="shared" si="1"/>
        <v>61</v>
      </c>
      <c r="D39" s="39">
        <f>VLOOKUP(C39,Primas!$N$3:$AH$79,2,0)</f>
        <v>1950000000</v>
      </c>
      <c r="E39" s="39">
        <f>VLOOKUP(C39,Primas!$N$3:$AH$79,21,0)</f>
        <v>35270056.899999999</v>
      </c>
      <c r="F39" s="39">
        <f>IF(Inicio!$E$24="Mensual",Cotizador!E39*0.0925,IF(Inicio!$E$24="Trimestral",Cotizador!E39*0.265,IF(Inicio!$E$24="Semestral",Cotizador!E39*0.515,0)))</f>
        <v>0</v>
      </c>
      <c r="H39" s="40"/>
      <c r="I39" s="39">
        <f t="shared" si="2"/>
        <v>42</v>
      </c>
      <c r="J39" s="39">
        <f t="shared" si="3"/>
        <v>92</v>
      </c>
      <c r="K39" s="39">
        <f>VLOOKUP(J39,Primas!$N$3:$AH$79,2,0)</f>
        <v>0</v>
      </c>
      <c r="L39" s="39">
        <f>VLOOKUP(J39,Primas!$N$3:$AH$79,21,0)</f>
        <v>0</v>
      </c>
      <c r="M39" s="39">
        <f>IF(Inicio!$E$24="Mensual",Cotizador!L39*0.0925,IF(Inicio!$E$24="Trimestral",Cotizador!L39*0.265,IF(Inicio!$E$24="Semestral",Cotizador!L39*0.515,0)))</f>
        <v>0</v>
      </c>
      <c r="N39" s="4"/>
      <c r="O39" s="4"/>
      <c r="P39" s="4"/>
      <c r="Q39" s="4"/>
      <c r="R39" s="4"/>
      <c r="S39" s="4"/>
      <c r="T39" s="4"/>
    </row>
    <row r="40" spans="1:20">
      <c r="A40" s="4"/>
      <c r="B40" s="39">
        <f t="shared" si="0"/>
        <v>12</v>
      </c>
      <c r="C40" s="39">
        <f t="shared" si="1"/>
        <v>62</v>
      </c>
      <c r="D40" s="39">
        <f>VLOOKUP(C40,Primas!$N$3:$AH$79,2,0)</f>
        <v>1995000000</v>
      </c>
      <c r="E40" s="39">
        <f>VLOOKUP(C40,Primas!$N$3:$AH$79,21,0)</f>
        <v>39747709.68</v>
      </c>
      <c r="F40" s="39">
        <f>IF(Inicio!$E$24="Mensual",Cotizador!E40*0.0925,IF(Inicio!$E$24="Trimestral",Cotizador!E40*0.265,IF(Inicio!$E$24="Semestral",Cotizador!E40*0.515,0)))</f>
        <v>0</v>
      </c>
      <c r="H40" s="40"/>
      <c r="I40" s="39">
        <f t="shared" si="2"/>
        <v>43</v>
      </c>
      <c r="J40" s="39">
        <f t="shared" si="3"/>
        <v>93</v>
      </c>
      <c r="K40" s="39">
        <f>VLOOKUP(J40,Primas!$N$3:$AH$79,2,0)</f>
        <v>0</v>
      </c>
      <c r="L40" s="39">
        <f>VLOOKUP(J40,Primas!$N$3:$AH$79,21,0)</f>
        <v>0</v>
      </c>
      <c r="M40" s="39">
        <f>IF(Inicio!$E$24="Mensual",Cotizador!L40*0.0925,IF(Inicio!$E$24="Trimestral",Cotizador!L40*0.265,IF(Inicio!$E$24="Semestral",Cotizador!L40*0.515,0)))</f>
        <v>0</v>
      </c>
      <c r="N40" s="4"/>
      <c r="O40" s="4"/>
      <c r="P40" s="4"/>
      <c r="Q40" s="4"/>
      <c r="R40" s="4"/>
      <c r="S40" s="4"/>
      <c r="T40" s="4"/>
    </row>
    <row r="41" spans="1:20">
      <c r="A41" s="4"/>
      <c r="B41" s="39">
        <f t="shared" si="0"/>
        <v>13</v>
      </c>
      <c r="C41" s="39">
        <f t="shared" si="1"/>
        <v>63</v>
      </c>
      <c r="D41" s="39">
        <f>VLOOKUP(C41,Primas!$N$3:$AH$79,2,0)</f>
        <v>2040000000</v>
      </c>
      <c r="E41" s="39">
        <f>VLOOKUP(C41,Primas!$N$3:$AH$79,21,0)</f>
        <v>44513500.399999991</v>
      </c>
      <c r="F41" s="39">
        <f>IF(Inicio!$E$24="Mensual",Cotizador!E41*0.0925,IF(Inicio!$E$24="Trimestral",Cotizador!E41*0.265,IF(Inicio!$E$24="Semestral",Cotizador!E41*0.515,0)))</f>
        <v>0</v>
      </c>
      <c r="H41" s="40"/>
      <c r="I41" s="39">
        <f t="shared" si="2"/>
        <v>44</v>
      </c>
      <c r="J41" s="39">
        <f t="shared" si="3"/>
        <v>94</v>
      </c>
      <c r="K41" s="39">
        <f>VLOOKUP(J41,Primas!$N$3:$AH$79,2,0)</f>
        <v>0</v>
      </c>
      <c r="L41" s="39">
        <f>VLOOKUP(J41,Primas!$N$3:$AH$79,21,0)</f>
        <v>0</v>
      </c>
      <c r="M41" s="39">
        <f>IF(Inicio!$E$24="Mensual",Cotizador!L41*0.0925,IF(Inicio!$E$24="Trimestral",Cotizador!L41*0.265,IF(Inicio!$E$24="Semestral",Cotizador!L41*0.515,0)))</f>
        <v>0</v>
      </c>
      <c r="N41" s="4"/>
      <c r="O41" s="4"/>
      <c r="P41" s="4"/>
      <c r="Q41" s="4"/>
      <c r="R41" s="4"/>
      <c r="S41" s="4"/>
      <c r="T41" s="4"/>
    </row>
    <row r="42" spans="1:20">
      <c r="A42" s="4"/>
      <c r="B42" s="39">
        <f t="shared" si="0"/>
        <v>14</v>
      </c>
      <c r="C42" s="39">
        <f t="shared" si="1"/>
        <v>64</v>
      </c>
      <c r="D42" s="39">
        <f>VLOOKUP(C42,Primas!$N$3:$AH$79,2,0)</f>
        <v>2085000000</v>
      </c>
      <c r="E42" s="39">
        <f>VLOOKUP(C42,Primas!$N$3:$AH$79,21,0)</f>
        <v>49918426.43</v>
      </c>
      <c r="F42" s="39">
        <f>IF(Inicio!$E$24="Mensual",Cotizador!E42*0.0925,IF(Inicio!$E$24="Trimestral",Cotizador!E42*0.265,IF(Inicio!$E$24="Semestral",Cotizador!E42*0.515,0)))</f>
        <v>0</v>
      </c>
      <c r="H42" s="40"/>
      <c r="I42" s="39">
        <f t="shared" si="2"/>
        <v>45</v>
      </c>
      <c r="J42" s="39">
        <f t="shared" si="3"/>
        <v>95</v>
      </c>
      <c r="K42" s="39">
        <f>VLOOKUP(J42,Primas!$N$3:$AH$79,2,0)</f>
        <v>0</v>
      </c>
      <c r="L42" s="39">
        <f>VLOOKUP(J42,Primas!$N$3:$AH$79,21,0)</f>
        <v>0</v>
      </c>
      <c r="M42" s="39">
        <f>IF(Inicio!$E$24="Mensual",Cotizador!L42*0.0925,IF(Inicio!$E$24="Trimestral",Cotizador!L42*0.265,IF(Inicio!$E$24="Semestral",Cotizador!L42*0.515,0)))</f>
        <v>0</v>
      </c>
      <c r="N42" s="4"/>
      <c r="O42" s="4"/>
      <c r="P42" s="4"/>
      <c r="Q42" s="4"/>
      <c r="R42" s="4"/>
      <c r="S42" s="4"/>
      <c r="T42" s="4"/>
    </row>
    <row r="43" spans="1:20">
      <c r="A43" s="4"/>
      <c r="B43" s="39">
        <f t="shared" si="0"/>
        <v>15</v>
      </c>
      <c r="C43" s="39">
        <f t="shared" si="1"/>
        <v>65</v>
      </c>
      <c r="D43" s="39">
        <f>VLOOKUP(C43,Primas!$N$3:$AH$79,2,0)</f>
        <v>2130000000</v>
      </c>
      <c r="E43" s="39">
        <f>VLOOKUP(C43,Primas!$N$3:$AH$79,21,0)</f>
        <v>54873263.060000002</v>
      </c>
      <c r="F43" s="39">
        <f>IF(Inicio!$E$24="Mensual",Cotizador!E43*0.0925,IF(Inicio!$E$24="Trimestral",Cotizador!E43*0.265,IF(Inicio!$E$24="Semestral",Cotizador!E43*0.515,0)))</f>
        <v>0</v>
      </c>
      <c r="H43" s="40"/>
      <c r="I43" s="39">
        <f t="shared" si="2"/>
        <v>46</v>
      </c>
      <c r="J43" s="39">
        <f t="shared" ref="J43:J60" si="4">+J42+1</f>
        <v>96</v>
      </c>
      <c r="K43" s="39">
        <f>VLOOKUP(J43,Primas!$N$3:$AH$79,2,0)</f>
        <v>0</v>
      </c>
      <c r="L43" s="39">
        <f>VLOOKUP(J43,Primas!$N$3:$AH$79,21,0)</f>
        <v>0</v>
      </c>
      <c r="M43" s="39">
        <f>IF(Inicio!$E$24="Mensual",Cotizador!L43*0.0925,IF(Inicio!$E$24="Trimestral",Cotizador!L43*0.265,IF(Inicio!$E$24="Semestral",Cotizador!L43*0.515,0)))</f>
        <v>0</v>
      </c>
      <c r="N43" s="4"/>
      <c r="O43" s="4"/>
      <c r="P43" s="4"/>
      <c r="Q43" s="4"/>
      <c r="R43" s="4"/>
      <c r="S43" s="4"/>
      <c r="T43" s="4"/>
    </row>
    <row r="44" spans="1:20">
      <c r="A44" s="4"/>
      <c r="B44" s="39">
        <f t="shared" si="0"/>
        <v>16</v>
      </c>
      <c r="C44" s="39">
        <f t="shared" si="1"/>
        <v>66</v>
      </c>
      <c r="D44" s="39">
        <f>VLOOKUP(C44,Primas!$N$3:$AH$79,2,0)</f>
        <v>2175000000</v>
      </c>
      <c r="E44" s="39">
        <f>VLOOKUP(C44,Primas!$N$3:$AH$79,21,0)</f>
        <v>59834767.649999999</v>
      </c>
      <c r="F44" s="39">
        <f>IF(Inicio!$E$24="Mensual",Cotizador!E44*0.0925,IF(Inicio!$E$24="Trimestral",Cotizador!E44*0.265,IF(Inicio!$E$24="Semestral",Cotizador!E44*0.515,0)))</f>
        <v>0</v>
      </c>
      <c r="H44" s="40"/>
      <c r="I44" s="39">
        <f t="shared" si="2"/>
        <v>47</v>
      </c>
      <c r="J44" s="39">
        <f t="shared" si="4"/>
        <v>97</v>
      </c>
      <c r="K44" s="39">
        <f>VLOOKUP(J44,Primas!$N$3:$AH$79,2,0)</f>
        <v>0</v>
      </c>
      <c r="L44" s="39">
        <f>VLOOKUP(J44,Primas!$N$3:$AH$79,21,0)</f>
        <v>0</v>
      </c>
      <c r="M44" s="39">
        <f>IF(Inicio!$E$24="Mensual",Cotizador!L44*0.0925,IF(Inicio!$E$24="Trimestral",Cotizador!L44*0.265,IF(Inicio!$E$24="Semestral",Cotizador!L44*0.515,0)))</f>
        <v>0</v>
      </c>
      <c r="N44" s="4"/>
      <c r="O44" s="4"/>
      <c r="P44" s="4"/>
      <c r="Q44" s="4"/>
      <c r="R44" s="4"/>
      <c r="S44" s="4"/>
      <c r="T44" s="4"/>
    </row>
    <row r="45" spans="1:20">
      <c r="A45" s="4"/>
      <c r="B45" s="39">
        <f t="shared" si="0"/>
        <v>17</v>
      </c>
      <c r="C45" s="39">
        <f t="shared" si="1"/>
        <v>67</v>
      </c>
      <c r="D45" s="39">
        <f>VLOOKUP(C45,Primas!$N$3:$AH$79,2,0)</f>
        <v>2220000000</v>
      </c>
      <c r="E45" s="39">
        <f>VLOOKUP(C45,Primas!$N$3:$AH$79,21,0)</f>
        <v>64995940.479999997</v>
      </c>
      <c r="F45" s="39">
        <f>IF(Inicio!$E$24="Mensual",Cotizador!E45*0.0925,IF(Inicio!$E$24="Trimestral",Cotizador!E45*0.265,IF(Inicio!$E$24="Semestral",Cotizador!E45*0.515,0)))</f>
        <v>0</v>
      </c>
      <c r="H45" s="40"/>
      <c r="I45" s="39">
        <f t="shared" si="2"/>
        <v>48</v>
      </c>
      <c r="J45" s="39">
        <f t="shared" si="4"/>
        <v>98</v>
      </c>
      <c r="K45" s="39">
        <f>VLOOKUP(J45,Primas!$N$3:$AH$79,2,0)</f>
        <v>0</v>
      </c>
      <c r="L45" s="39">
        <f>VLOOKUP(J45,Primas!$N$3:$AH$79,21,0)</f>
        <v>0</v>
      </c>
      <c r="M45" s="39">
        <f>IF(Inicio!$E$24="Mensual",Cotizador!L45*0.0925,IF(Inicio!$E$24="Trimestral",Cotizador!L45*0.265,IF(Inicio!$E$24="Semestral",Cotizador!L45*0.515,0)))</f>
        <v>0</v>
      </c>
      <c r="N45" s="4"/>
      <c r="O45" s="4"/>
      <c r="P45" s="4"/>
      <c r="Q45" s="4"/>
      <c r="R45" s="4"/>
      <c r="S45" s="4"/>
      <c r="T45" s="4"/>
    </row>
    <row r="46" spans="1:20">
      <c r="A46" s="4"/>
      <c r="B46" s="39">
        <f t="shared" si="0"/>
        <v>18</v>
      </c>
      <c r="C46" s="39">
        <f t="shared" si="1"/>
        <v>68</v>
      </c>
      <c r="D46" s="39">
        <f>VLOOKUP(C46,Primas!$N$3:$AH$79,2,0)</f>
        <v>2265000000</v>
      </c>
      <c r="E46" s="39">
        <f>VLOOKUP(C46,Primas!$N$3:$AH$79,21,0)</f>
        <v>71643689.520000011</v>
      </c>
      <c r="F46" s="39">
        <f>IF(Inicio!$E$24="Mensual",Cotizador!E46*0.0925,IF(Inicio!$E$24="Trimestral",Cotizador!E46*0.265,IF(Inicio!$E$24="Semestral",Cotizador!E46*0.515,0)))</f>
        <v>0</v>
      </c>
      <c r="H46" s="40"/>
      <c r="I46" s="39">
        <f t="shared" si="2"/>
        <v>49</v>
      </c>
      <c r="J46" s="39">
        <f t="shared" si="4"/>
        <v>99</v>
      </c>
      <c r="K46" s="39">
        <f>VLOOKUP(J46,Primas!$N$3:$AH$79,2,0)</f>
        <v>0</v>
      </c>
      <c r="L46" s="39">
        <f>VLOOKUP(J46,Primas!$N$3:$AH$79,21,0)</f>
        <v>0</v>
      </c>
      <c r="M46" s="39">
        <f>IF(Inicio!$E$24="Mensual",Cotizador!L46*0.0925,IF(Inicio!$E$24="Trimestral",Cotizador!L46*0.265,IF(Inicio!$E$24="Semestral",Cotizador!L46*0.515,0)))</f>
        <v>0</v>
      </c>
      <c r="N46" s="4"/>
      <c r="O46" s="4"/>
      <c r="P46" s="4"/>
      <c r="Q46" s="4"/>
      <c r="R46" s="4"/>
      <c r="S46" s="4"/>
      <c r="T46" s="4"/>
    </row>
    <row r="47" spans="1:20">
      <c r="A47" s="4"/>
      <c r="B47" s="39">
        <f t="shared" si="0"/>
        <v>19</v>
      </c>
      <c r="C47" s="39">
        <f t="shared" si="1"/>
        <v>69</v>
      </c>
      <c r="D47" s="39">
        <f>VLOOKUP(C47,Primas!$N$3:$AH$79,2,0)</f>
        <v>2310000000</v>
      </c>
      <c r="E47" s="39">
        <f>VLOOKUP(C47,Primas!$N$3:$AH$79,21,0)</f>
        <v>78607254.879999995</v>
      </c>
      <c r="F47" s="39">
        <f>IF(Inicio!$E$24="Mensual",Cotizador!E47*0.0925,IF(Inicio!$E$24="Trimestral",Cotizador!E47*0.265,IF(Inicio!$E$24="Semestral",Cotizador!E47*0.515,0)))</f>
        <v>0</v>
      </c>
      <c r="H47" s="40"/>
      <c r="I47" s="39">
        <f t="shared" si="2"/>
        <v>50</v>
      </c>
      <c r="J47" s="39">
        <f t="shared" si="4"/>
        <v>100</v>
      </c>
      <c r="K47" s="39">
        <f>VLOOKUP(J47,Primas!$N$3:$AH$79,2,0)</f>
        <v>0</v>
      </c>
      <c r="L47" s="39">
        <f>VLOOKUP(J47,Primas!$N$3:$AH$79,21,0)</f>
        <v>0</v>
      </c>
      <c r="M47" s="39">
        <f>IF(Inicio!$E$24="Mensual",Cotizador!L47*0.0925,IF(Inicio!$E$24="Trimestral",Cotizador!L47*0.265,IF(Inicio!$E$24="Semestral",Cotizador!L47*0.515,0)))</f>
        <v>0</v>
      </c>
      <c r="N47" s="4"/>
      <c r="O47" s="4"/>
      <c r="P47" s="4"/>
      <c r="Q47" s="4"/>
      <c r="R47" s="4"/>
      <c r="S47" s="4"/>
      <c r="T47" s="4"/>
    </row>
    <row r="48" spans="1:20">
      <c r="A48" s="4"/>
      <c r="B48" s="39">
        <f t="shared" si="0"/>
        <v>20</v>
      </c>
      <c r="C48" s="39">
        <f t="shared" si="1"/>
        <v>70</v>
      </c>
      <c r="D48" s="39">
        <f>VLOOKUP(C48,Primas!$N$3:$AH$79,2,0)</f>
        <v>2355000000</v>
      </c>
      <c r="E48" s="39">
        <f>VLOOKUP(C48,Primas!$N$3:$AH$79,21,0)</f>
        <v>52420874.440000005</v>
      </c>
      <c r="F48" s="39">
        <f>IF(Inicio!$E$24="Mensual",Cotizador!E48*0.0925,IF(Inicio!$E$24="Trimestral",Cotizador!E48*0.265,IF(Inicio!$E$24="Semestral",Cotizador!E48*0.515,0)))</f>
        <v>0</v>
      </c>
      <c r="H48" s="40"/>
      <c r="I48" s="39">
        <f t="shared" si="2"/>
        <v>51</v>
      </c>
      <c r="J48" s="39">
        <f>+J47+1</f>
        <v>101</v>
      </c>
      <c r="K48" s="39">
        <f>VLOOKUP(J48,Primas!$N$3:$AH$79,2,0)</f>
        <v>0</v>
      </c>
      <c r="L48" s="39">
        <f>VLOOKUP(J48,Primas!$N$3:$AH$79,21,0)</f>
        <v>0</v>
      </c>
      <c r="M48" s="39">
        <f>IF(Inicio!$E$24="Mensual",Cotizador!L48*0.0925,IF(Inicio!$E$24="Trimestral",Cotizador!L48*0.265,IF(Inicio!$E$24="Semestral",Cotizador!L48*0.515,0)))</f>
        <v>0</v>
      </c>
      <c r="N48" s="4"/>
      <c r="O48" s="4"/>
      <c r="P48" s="4"/>
      <c r="Q48" s="4"/>
      <c r="R48" s="4"/>
      <c r="S48" s="4"/>
      <c r="T48" s="4"/>
    </row>
    <row r="49" spans="1:30">
      <c r="A49" s="4"/>
      <c r="B49" s="39">
        <f t="shared" si="0"/>
        <v>21</v>
      </c>
      <c r="C49" s="39">
        <f t="shared" si="1"/>
        <v>71</v>
      </c>
      <c r="D49" s="39">
        <f>VLOOKUP(C49,Primas!$N$3:$AH$79,2,0)</f>
        <v>2400000000</v>
      </c>
      <c r="E49" s="39">
        <f>VLOOKUP(C49,Primas!$N$3:$AH$79,21,0)</f>
        <v>58078574.399999999</v>
      </c>
      <c r="F49" s="39">
        <f>IF(Inicio!$E$24="Mensual",Cotizador!E49*0.0925,IF(Inicio!$E$24="Trimestral",Cotizador!E49*0.265,IF(Inicio!$E$24="Semestral",Cotizador!E49*0.515,0)))</f>
        <v>0</v>
      </c>
      <c r="H49" s="40"/>
      <c r="I49" s="39">
        <f t="shared" si="2"/>
        <v>52</v>
      </c>
      <c r="J49" s="39">
        <f t="shared" si="4"/>
        <v>102</v>
      </c>
      <c r="K49" s="39">
        <f>VLOOKUP(J49,Primas!$N$3:$AH$79,2,0)</f>
        <v>0</v>
      </c>
      <c r="L49" s="39">
        <f>VLOOKUP(J49,Primas!$N$3:$AH$79,21,0)</f>
        <v>0</v>
      </c>
      <c r="M49" s="39">
        <f>IF(Inicio!$E$24="Mensual",Cotizador!L49*0.0925,IF(Inicio!$E$24="Trimestral",Cotizador!L49*0.265,IF(Inicio!$E$24="Semestral",Cotizador!L49*0.515,0)))</f>
        <v>0</v>
      </c>
      <c r="N49" s="4"/>
      <c r="O49" s="4"/>
      <c r="P49" s="4"/>
      <c r="Q49" s="4"/>
      <c r="R49" s="4"/>
      <c r="S49" s="4"/>
      <c r="T49" s="4"/>
    </row>
    <row r="50" spans="1:30">
      <c r="A50" s="4"/>
      <c r="B50" s="39">
        <f t="shared" si="0"/>
        <v>22</v>
      </c>
      <c r="C50" s="39">
        <f t="shared" si="1"/>
        <v>72</v>
      </c>
      <c r="D50" s="39">
        <f>VLOOKUP(C50,Primas!$N$3:$AH$79,2,0)</f>
        <v>2445000000</v>
      </c>
      <c r="E50" s="39">
        <f>VLOOKUP(C50,Primas!$N$3:$AH$79,21,0)</f>
        <v>64863962.460000008</v>
      </c>
      <c r="F50" s="39">
        <f>IF(Inicio!$E$24="Mensual",Cotizador!E50*0.0925,IF(Inicio!$E$24="Trimestral",Cotizador!E50*0.265,IF(Inicio!$E$24="Semestral",Cotizador!E50*0.515,0)))</f>
        <v>0</v>
      </c>
      <c r="H50" s="40"/>
      <c r="I50" s="39">
        <f t="shared" si="2"/>
        <v>53</v>
      </c>
      <c r="J50" s="39">
        <f t="shared" si="4"/>
        <v>103</v>
      </c>
      <c r="K50" s="39">
        <f>VLOOKUP(J50,Primas!$N$3:$AH$79,2,0)</f>
        <v>0</v>
      </c>
      <c r="L50" s="39">
        <f>VLOOKUP(J50,Primas!$N$3:$AH$79,21,0)</f>
        <v>0</v>
      </c>
      <c r="M50" s="39">
        <f>IF(Inicio!$E$24="Mensual",Cotizador!L50*0.0925,IF(Inicio!$E$24="Trimestral",Cotizador!L50*0.265,IF(Inicio!$E$24="Semestral",Cotizador!L50*0.515,0)))</f>
        <v>0</v>
      </c>
      <c r="N50" s="4"/>
      <c r="O50" s="4"/>
      <c r="P50" s="4"/>
      <c r="Q50" s="4"/>
      <c r="R50" s="4"/>
      <c r="S50" s="4"/>
      <c r="T50" s="4"/>
    </row>
    <row r="51" spans="1:30">
      <c r="A51" s="4"/>
      <c r="B51" s="39">
        <f t="shared" si="0"/>
        <v>23</v>
      </c>
      <c r="C51" s="39">
        <f t="shared" si="1"/>
        <v>73</v>
      </c>
      <c r="D51" s="39">
        <f>VLOOKUP(C51,Primas!$N$3:$AH$79,2,0)</f>
        <v>2490000000</v>
      </c>
      <c r="E51" s="39">
        <f>VLOOKUP(C51,Primas!$N$3:$AH$79,21,0)</f>
        <v>73770272.180000007</v>
      </c>
      <c r="F51" s="39">
        <f>IF(Inicio!$E$24="Mensual",Cotizador!E51*0.0925,IF(Inicio!$E$24="Trimestral",Cotizador!E51*0.265,IF(Inicio!$E$24="Semestral",Cotizador!E51*0.515,0)))</f>
        <v>0</v>
      </c>
      <c r="H51" s="40"/>
      <c r="I51" s="39">
        <f t="shared" si="2"/>
        <v>54</v>
      </c>
      <c r="J51" s="39">
        <f t="shared" si="4"/>
        <v>104</v>
      </c>
      <c r="K51" s="39">
        <f>VLOOKUP(J51,Primas!$N$3:$AH$79,2,0)</f>
        <v>0</v>
      </c>
      <c r="L51" s="39">
        <f>VLOOKUP(J51,Primas!$N$3:$AH$79,21,0)</f>
        <v>0</v>
      </c>
      <c r="M51" s="39">
        <f>IF(Inicio!$E$24="Mensual",Cotizador!L51*0.0925,IF(Inicio!$E$24="Trimestral",Cotizador!L51*0.265,IF(Inicio!$E$24="Semestral",Cotizador!L51*0.515,0)))</f>
        <v>0</v>
      </c>
      <c r="N51" s="4"/>
      <c r="O51" s="4"/>
      <c r="P51" s="4"/>
      <c r="Q51" s="4"/>
      <c r="R51" s="4"/>
      <c r="S51" s="4"/>
      <c r="T51" s="4"/>
    </row>
    <row r="52" spans="1:30">
      <c r="A52" s="4"/>
      <c r="B52" s="39">
        <f t="shared" si="0"/>
        <v>24</v>
      </c>
      <c r="C52" s="39">
        <f t="shared" si="1"/>
        <v>74</v>
      </c>
      <c r="D52" s="39">
        <f>VLOOKUP(C52,Primas!$N$3:$AH$79,2,0)</f>
        <v>2535000000</v>
      </c>
      <c r="E52" s="39">
        <f>VLOOKUP(C52,Primas!$N$3:$AH$79,21,0)</f>
        <v>85120152.260000005</v>
      </c>
      <c r="F52" s="39">
        <f>IF(Inicio!$E$24="Mensual",Cotizador!E52*0.0925,IF(Inicio!$E$24="Trimestral",Cotizador!E52*0.265,IF(Inicio!$E$24="Semestral",Cotizador!E52*0.515,0)))</f>
        <v>0</v>
      </c>
      <c r="H52" s="40"/>
      <c r="I52" s="39">
        <f t="shared" si="2"/>
        <v>55</v>
      </c>
      <c r="J52" s="39">
        <f t="shared" si="4"/>
        <v>105</v>
      </c>
      <c r="K52" s="39">
        <f>VLOOKUP(J52,Primas!$N$3:$AH$79,2,0)</f>
        <v>0</v>
      </c>
      <c r="L52" s="39">
        <f>VLOOKUP(J52,Primas!$N$3:$AH$79,21,0)</f>
        <v>0</v>
      </c>
      <c r="M52" s="39">
        <f>IF(Inicio!$E$24="Mensual",Cotizador!L52*0.0925,IF(Inicio!$E$24="Trimestral",Cotizador!L52*0.265,IF(Inicio!$E$24="Semestral",Cotizador!L52*0.515,0)))</f>
        <v>0</v>
      </c>
      <c r="N52" s="4"/>
      <c r="O52" s="4"/>
      <c r="P52" s="4"/>
      <c r="Q52" s="4"/>
      <c r="R52" s="4"/>
      <c r="S52" s="4"/>
      <c r="T52" s="4"/>
    </row>
    <row r="53" spans="1:30">
      <c r="A53" s="4"/>
      <c r="B53" s="39">
        <f t="shared" si="0"/>
        <v>25</v>
      </c>
      <c r="C53" s="39">
        <f t="shared" si="1"/>
        <v>75</v>
      </c>
      <c r="D53" s="39">
        <f>VLOOKUP(C53,Primas!$N$3:$AH$79,2,0)</f>
        <v>2580000000</v>
      </c>
      <c r="E53" s="39">
        <f>VLOOKUP(C53,Primas!$N$3:$AH$79,21,0)</f>
        <v>99371037.480000019</v>
      </c>
      <c r="F53" s="39">
        <f>IF(Inicio!$E$24="Mensual",Cotizador!E53*0.0925,IF(Inicio!$E$24="Trimestral",Cotizador!E53*0.265,IF(Inicio!$E$24="Semestral",Cotizador!E53*0.515,0)))</f>
        <v>0</v>
      </c>
      <c r="H53" s="40"/>
      <c r="I53" s="39">
        <f t="shared" si="2"/>
        <v>56</v>
      </c>
      <c r="J53" s="39">
        <f t="shared" si="4"/>
        <v>106</v>
      </c>
      <c r="K53" s="39">
        <f>VLOOKUP(J53,Primas!$N$3:$AH$79,2,0)</f>
        <v>0</v>
      </c>
      <c r="L53" s="39">
        <f>VLOOKUP(J53,Primas!$N$3:$AH$79,21,0)</f>
        <v>0</v>
      </c>
      <c r="M53" s="39">
        <f>IF(Inicio!$E$24="Mensual",Cotizador!L53*0.0925,IF(Inicio!$E$24="Trimestral",Cotizador!L53*0.265,IF(Inicio!$E$24="Semestral",Cotizador!L53*0.515,0)))</f>
        <v>0</v>
      </c>
      <c r="N53" s="4"/>
      <c r="O53" s="4"/>
      <c r="P53" s="4"/>
      <c r="Q53" s="4"/>
      <c r="R53" s="4"/>
      <c r="S53" s="4"/>
      <c r="T53" s="4"/>
    </row>
    <row r="54" spans="1:30">
      <c r="A54" s="4"/>
      <c r="B54" s="39">
        <f t="shared" si="0"/>
        <v>26</v>
      </c>
      <c r="C54" s="39">
        <f t="shared" si="1"/>
        <v>76</v>
      </c>
      <c r="D54" s="39">
        <f>VLOOKUP(C54,Primas!$N$3:$AH$79,2,0)</f>
        <v>2625000000</v>
      </c>
      <c r="E54" s="39">
        <f>VLOOKUP(C54,Primas!$N$3:$AH$79,21,0)</f>
        <v>117112360.75</v>
      </c>
      <c r="F54" s="39">
        <f>IF(Inicio!$E$24="Mensual",Cotizador!E54*0.0925,IF(Inicio!$E$24="Trimestral",Cotizador!E54*0.265,IF(Inicio!$E$24="Semestral",Cotizador!E54*0.515,0)))</f>
        <v>0</v>
      </c>
      <c r="H54" s="40"/>
      <c r="I54" s="39">
        <f t="shared" si="2"/>
        <v>57</v>
      </c>
      <c r="J54" s="39">
        <f t="shared" si="4"/>
        <v>107</v>
      </c>
      <c r="K54" s="39">
        <f>VLOOKUP(J54,Primas!$N$3:$AH$79,2,0)</f>
        <v>0</v>
      </c>
      <c r="L54" s="39">
        <f>VLOOKUP(J54,Primas!$N$3:$AH$79,21,0)</f>
        <v>0</v>
      </c>
      <c r="M54" s="39">
        <f>IF(Inicio!$E$24="Mensual",Cotizador!L54*0.0925,IF(Inicio!$E$24="Trimestral",Cotizador!L54*0.265,IF(Inicio!$E$24="Semestral",Cotizador!L54*0.515,0)))</f>
        <v>0</v>
      </c>
      <c r="N54" s="4"/>
      <c r="O54" s="4"/>
      <c r="P54" s="4"/>
      <c r="Q54" s="4"/>
      <c r="R54" s="4"/>
      <c r="S54" s="4"/>
      <c r="T54" s="4"/>
    </row>
    <row r="55" spans="1:30">
      <c r="A55" s="4"/>
      <c r="B55" s="39">
        <f t="shared" si="0"/>
        <v>27</v>
      </c>
      <c r="C55" s="39">
        <f t="shared" si="1"/>
        <v>77</v>
      </c>
      <c r="D55" s="39">
        <f>VLOOKUP(C55,Primas!$N$3:$AH$79,2,0)</f>
        <v>2670000000</v>
      </c>
      <c r="E55" s="39">
        <f>VLOOKUP(C55,Primas!$N$3:$AH$79,21,0)</f>
        <v>138943380.62</v>
      </c>
      <c r="F55" s="39">
        <f>IF(Inicio!$E$24="Mensual",Cotizador!E55*0.0925,IF(Inicio!$E$24="Trimestral",Cotizador!E55*0.265,IF(Inicio!$E$24="Semestral",Cotizador!E55*0.515,0)))</f>
        <v>0</v>
      </c>
      <c r="H55" s="40"/>
      <c r="I55" s="39">
        <f t="shared" si="2"/>
        <v>58</v>
      </c>
      <c r="J55" s="39">
        <f t="shared" si="4"/>
        <v>108</v>
      </c>
      <c r="K55" s="39">
        <f>VLOOKUP(J55,Primas!$N$3:$AH$79,2,0)</f>
        <v>0</v>
      </c>
      <c r="L55" s="39">
        <f>VLOOKUP(J55,Primas!$N$3:$AH$79,21,0)</f>
        <v>0</v>
      </c>
      <c r="M55" s="39">
        <f>IF(Inicio!$E$24="Mensual",Cotizador!L55*0.0925,IF(Inicio!$E$24="Trimestral",Cotizador!L55*0.265,IF(Inicio!$E$24="Semestral",Cotizador!L55*0.515,0)))</f>
        <v>0</v>
      </c>
      <c r="N55" s="4"/>
      <c r="O55" s="4"/>
      <c r="P55" s="4"/>
      <c r="Q55" s="4"/>
      <c r="R55" s="4"/>
      <c r="S55" s="4"/>
      <c r="T55" s="4"/>
    </row>
    <row r="56" spans="1:30">
      <c r="A56" s="4"/>
      <c r="B56" s="39">
        <f t="shared" si="0"/>
        <v>28</v>
      </c>
      <c r="C56" s="39">
        <f t="shared" si="1"/>
        <v>78</v>
      </c>
      <c r="D56" s="39">
        <f>VLOOKUP(C56,Primas!$N$3:$AH$79,2,0)</f>
        <v>2715000000</v>
      </c>
      <c r="E56" s="39">
        <f>VLOOKUP(C56,Primas!$N$3:$AH$79,21,0)</f>
        <v>166256941.84</v>
      </c>
      <c r="F56" s="39">
        <f>IF(Inicio!$E$24="Mensual",Cotizador!E56*0.0925,IF(Inicio!$E$24="Trimestral",Cotizador!E56*0.265,IF(Inicio!$E$24="Semestral",Cotizador!E56*0.515,0)))</f>
        <v>0</v>
      </c>
      <c r="H56" s="40"/>
      <c r="I56" s="39">
        <f>+I55+1</f>
        <v>59</v>
      </c>
      <c r="J56" s="39">
        <f t="shared" si="4"/>
        <v>109</v>
      </c>
      <c r="K56" s="39">
        <f>VLOOKUP(J56,Primas!$N$3:$AH$79,2,0)</f>
        <v>0</v>
      </c>
      <c r="L56" s="39">
        <f>VLOOKUP(J56,Primas!$N$3:$AH$79,21,0)</f>
        <v>0</v>
      </c>
      <c r="M56" s="39">
        <f>IF(Inicio!$E$24="Mensual",Cotizador!L56*0.0925,IF(Inicio!$E$24="Trimestral",Cotizador!L56*0.265,IF(Inicio!$E$24="Semestral",Cotizador!L56*0.515,0)))</f>
        <v>0</v>
      </c>
      <c r="N56" s="4"/>
      <c r="O56" s="4"/>
      <c r="P56" s="4"/>
      <c r="Q56" s="4"/>
      <c r="R56" s="4"/>
      <c r="S56" s="4"/>
      <c r="T56" s="4"/>
    </row>
    <row r="57" spans="1:30">
      <c r="A57" s="4"/>
      <c r="B57" s="39">
        <f t="shared" si="0"/>
        <v>29</v>
      </c>
      <c r="C57" s="39">
        <f t="shared" si="1"/>
        <v>79</v>
      </c>
      <c r="D57" s="39">
        <f>VLOOKUP(C57,Primas!$N$3:$AH$79,2,0)</f>
        <v>2760000000</v>
      </c>
      <c r="E57" s="39">
        <f>VLOOKUP(C57,Primas!$N$3:$AH$79,21,0)</f>
        <v>203315880.24000001</v>
      </c>
      <c r="F57" s="39">
        <f>IF(Inicio!$E$24="Mensual",Cotizador!E57*0.0925,IF(Inicio!$E$24="Trimestral",Cotizador!E57*0.265,IF(Inicio!$E$24="Semestral",Cotizador!E57*0.515,0)))</f>
        <v>0</v>
      </c>
      <c r="H57" s="40"/>
      <c r="I57" s="39">
        <f t="shared" si="2"/>
        <v>60</v>
      </c>
      <c r="J57" s="39">
        <f t="shared" si="4"/>
        <v>110</v>
      </c>
      <c r="K57" s="39">
        <f>VLOOKUP(J57,Primas!$N$3:$AH$79,2,0)</f>
        <v>0</v>
      </c>
      <c r="L57" s="39">
        <f>VLOOKUP(J57,Primas!$N$3:$AH$79,21,0)</f>
        <v>0</v>
      </c>
      <c r="M57" s="39">
        <f>IF(Inicio!$E$24="Mensual",Cotizador!L57*0.0925,IF(Inicio!$E$24="Trimestral",Cotizador!L57*0.265,IF(Inicio!$E$24="Semestral",Cotizador!L57*0.515,0)))</f>
        <v>0</v>
      </c>
      <c r="N57" s="4"/>
      <c r="O57" s="4"/>
      <c r="P57" s="4"/>
      <c r="Q57" s="4"/>
      <c r="R57" s="4"/>
      <c r="S57" s="4"/>
      <c r="T57" s="4"/>
    </row>
    <row r="58" spans="1:30">
      <c r="A58" s="4"/>
      <c r="B58" s="39">
        <f t="shared" si="0"/>
        <v>30</v>
      </c>
      <c r="C58" s="39">
        <f t="shared" si="1"/>
        <v>80</v>
      </c>
      <c r="D58" s="39">
        <f>VLOOKUP(C58,Primas!$N$3:$AH$79,2,0)</f>
        <v>0</v>
      </c>
      <c r="E58" s="39">
        <f>VLOOKUP(C58,Primas!$N$3:$AH$79,21,0)</f>
        <v>0</v>
      </c>
      <c r="F58" s="39">
        <f>IF(Inicio!$E$24="Mensual",Cotizador!E58*0.0925,IF(Inicio!$E$24="Trimestral",Cotizador!E58*0.265,IF(Inicio!$E$24="Semestral",Cotizador!E58*0.515,0)))</f>
        <v>0</v>
      </c>
      <c r="H58" s="40"/>
      <c r="I58" s="39">
        <f t="shared" si="2"/>
        <v>61</v>
      </c>
      <c r="J58" s="39">
        <f t="shared" si="4"/>
        <v>111</v>
      </c>
      <c r="K58" s="39">
        <f>VLOOKUP(J58,Primas!$N$3:$AH$79,2,0)</f>
        <v>0</v>
      </c>
      <c r="L58" s="39">
        <f>VLOOKUP(J58,Primas!$N$3:$AH$79,21,0)</f>
        <v>0</v>
      </c>
      <c r="M58" s="39">
        <f>IF(Inicio!$E$24="Mensual",Cotizador!L58*0.0925,IF(Inicio!$E$24="Trimestral",Cotizador!L58*0.265,IF(Inicio!$E$24="Semestral",Cotizador!L58*0.515,0)))</f>
        <v>0</v>
      </c>
      <c r="N58" s="4"/>
      <c r="O58" s="4"/>
      <c r="P58" s="4"/>
      <c r="Q58" s="4"/>
      <c r="R58" s="4"/>
      <c r="S58" s="4"/>
      <c r="T58" s="4"/>
    </row>
    <row r="59" spans="1:30" ht="15.75" thickBot="1">
      <c r="A59" s="4"/>
      <c r="B59" s="39">
        <f t="shared" si="0"/>
        <v>31</v>
      </c>
      <c r="C59" s="39">
        <f t="shared" si="1"/>
        <v>81</v>
      </c>
      <c r="D59" s="39">
        <f>VLOOKUP(C59,Primas!$N$3:$AH$79,2,0)</f>
        <v>0</v>
      </c>
      <c r="E59" s="39">
        <f>VLOOKUP(C59,Primas!$N$3:$AH$79,21,0)</f>
        <v>0</v>
      </c>
      <c r="F59" s="39">
        <f>IF(Inicio!$E$24="Mensual",Cotizador!E59*0.0925,IF(Inicio!$E$24="Trimestral",Cotizador!E59*0.265,IF(Inicio!$E$24="Semestral",Cotizador!E59*0.515,0)))</f>
        <v>0</v>
      </c>
      <c r="H59" s="41"/>
      <c r="I59" s="39">
        <f t="shared" si="2"/>
        <v>62</v>
      </c>
      <c r="J59" s="39">
        <f t="shared" si="4"/>
        <v>112</v>
      </c>
      <c r="K59" s="39">
        <f>VLOOKUP(J59,Primas!$N$3:$AH$79,2,0)</f>
        <v>0</v>
      </c>
      <c r="L59" s="39">
        <f>VLOOKUP(J59,Primas!$N$3:$AH$79,21,0)</f>
        <v>0</v>
      </c>
      <c r="M59" s="39">
        <f>IF(Inicio!$E$24="Mensual",Cotizador!L59*0.0925,IF(Inicio!$E$24="Trimestral",Cotizador!L59*0.265,IF(Inicio!$E$24="Semestral",Cotizador!L59*0.515,0)))</f>
        <v>0</v>
      </c>
      <c r="N59" s="4"/>
      <c r="O59" s="4"/>
      <c r="P59" s="4"/>
      <c r="Q59" s="4"/>
      <c r="R59" s="4"/>
      <c r="S59" s="4"/>
      <c r="T59" s="4"/>
    </row>
    <row r="60" spans="1:30" ht="15.75" hidden="1" customHeight="1" thickBot="1">
      <c r="A60" s="4"/>
      <c r="B60" s="23"/>
      <c r="C60" s="42" t="str">
        <f>+IF(B60="","",(C59+1))</f>
        <v/>
      </c>
      <c r="D60" s="39" t="e">
        <f>VLOOKUP(C60,#REF!,2,0)</f>
        <v>#REF!</v>
      </c>
      <c r="E60" s="23"/>
      <c r="F60" s="23"/>
      <c r="G60" s="23"/>
      <c r="H60" s="43"/>
      <c r="I60" s="43"/>
      <c r="J60" s="39">
        <f t="shared" si="4"/>
        <v>113</v>
      </c>
      <c r="K60" s="43"/>
      <c r="L60" s="39" t="e">
        <f>VLOOKUP(J60,#REF!,21,0)</f>
        <v>#REF!</v>
      </c>
      <c r="M60" s="44"/>
      <c r="N60" s="4"/>
      <c r="O60" s="4"/>
      <c r="P60" s="4"/>
      <c r="Q60" s="4"/>
      <c r="R60" s="4"/>
      <c r="S60" s="4"/>
      <c r="T60" s="4"/>
    </row>
    <row r="61" spans="1:30" ht="83.25" customHeight="1" thickBot="1">
      <c r="B61" s="144" t="s">
        <v>19</v>
      </c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6"/>
    </row>
    <row r="62" spans="1:30" ht="30.75" customHeight="1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45"/>
      <c r="M62" s="45"/>
      <c r="N62" s="4"/>
      <c r="O62" s="4"/>
      <c r="P62" s="4"/>
      <c r="Q62" s="4"/>
      <c r="R62" s="4"/>
      <c r="S62" s="4"/>
      <c r="T62" s="4"/>
    </row>
    <row r="63" spans="1:30" ht="5.25" hidden="1" customHeight="1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45"/>
      <c r="M63" s="45"/>
    </row>
    <row r="64" spans="1:30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</row>
    <row r="65" spans="1:13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</row>
    <row r="66" spans="1:1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</row>
    <row r="67" spans="1:1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</row>
    <row r="68" spans="1:1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</row>
    <row r="69" spans="1:13"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</row>
    <row r="70" spans="1:13"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</row>
    <row r="71" spans="1:13"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</row>
    <row r="90" spans="4:8">
      <c r="D90" s="46"/>
      <c r="E90" s="46"/>
      <c r="F90" s="46"/>
      <c r="G90" s="46"/>
      <c r="H90" s="46"/>
    </row>
    <row r="91" spans="4:8">
      <c r="D91" s="46"/>
      <c r="E91" s="46"/>
      <c r="F91" s="46"/>
      <c r="G91" s="46"/>
      <c r="H91" s="46"/>
    </row>
    <row r="92" spans="4:8">
      <c r="D92" s="46"/>
      <c r="E92" s="46"/>
      <c r="F92" s="46"/>
      <c r="G92" s="46"/>
      <c r="H92" s="46"/>
    </row>
    <row r="93" spans="4:8">
      <c r="D93" s="46"/>
      <c r="E93" s="46"/>
      <c r="F93" s="46"/>
      <c r="G93" s="46"/>
      <c r="H93" s="46"/>
    </row>
    <row r="94" spans="4:8">
      <c r="D94" s="46"/>
      <c r="E94" s="46"/>
      <c r="F94" s="46"/>
      <c r="G94" s="46"/>
      <c r="H94" s="46"/>
    </row>
    <row r="95" spans="4:8">
      <c r="D95" s="46"/>
      <c r="E95" s="46"/>
      <c r="F95" s="46"/>
      <c r="G95" s="46"/>
      <c r="H95" s="46"/>
    </row>
    <row r="96" spans="4:8">
      <c r="D96" s="46"/>
      <c r="E96" s="46"/>
      <c r="F96" s="46"/>
      <c r="G96" s="46"/>
      <c r="H96" s="46"/>
    </row>
    <row r="97" spans="4:8">
      <c r="D97" s="46"/>
      <c r="E97" s="46"/>
      <c r="F97" s="46"/>
      <c r="G97" s="46"/>
      <c r="H97" s="46"/>
    </row>
    <row r="98" spans="4:8">
      <c r="D98" s="46"/>
      <c r="E98" s="46"/>
      <c r="F98" s="46"/>
      <c r="G98" s="46"/>
      <c r="H98" s="46"/>
    </row>
    <row r="99" spans="4:8">
      <c r="D99" s="46"/>
      <c r="E99" s="46"/>
      <c r="F99" s="46"/>
      <c r="G99" s="46"/>
      <c r="H99" s="46"/>
    </row>
    <row r="100" spans="4:8">
      <c r="D100" s="46"/>
      <c r="E100" s="46"/>
      <c r="F100" s="46"/>
      <c r="G100" s="46"/>
      <c r="H100" s="46"/>
    </row>
    <row r="101" spans="4:8">
      <c r="D101" s="46"/>
      <c r="E101" s="46"/>
      <c r="F101" s="46"/>
      <c r="G101" s="46"/>
      <c r="H101" s="46"/>
    </row>
    <row r="102" spans="4:8">
      <c r="D102" s="46"/>
      <c r="E102" s="46"/>
      <c r="F102" s="46"/>
      <c r="G102" s="46"/>
      <c r="H102" s="46"/>
    </row>
    <row r="103" spans="4:8">
      <c r="D103" s="46"/>
      <c r="E103" s="46"/>
      <c r="F103" s="46"/>
      <c r="G103" s="46"/>
      <c r="H103" s="46"/>
    </row>
    <row r="104" spans="4:8">
      <c r="D104" s="46"/>
      <c r="E104" s="46"/>
      <c r="F104" s="46"/>
      <c r="G104" s="46"/>
      <c r="H104" s="46"/>
    </row>
    <row r="105" spans="4:8">
      <c r="D105" s="46"/>
      <c r="E105" s="46"/>
      <c r="F105" s="46"/>
      <c r="G105" s="46"/>
      <c r="H105" s="46"/>
    </row>
    <row r="106" spans="4:8">
      <c r="D106" s="46"/>
      <c r="E106" s="46"/>
      <c r="F106" s="46"/>
      <c r="G106" s="46"/>
      <c r="H106" s="46"/>
    </row>
    <row r="107" spans="4:8">
      <c r="D107" s="46"/>
      <c r="E107" s="46"/>
      <c r="F107" s="46"/>
      <c r="G107" s="46"/>
      <c r="H107" s="46"/>
    </row>
    <row r="108" spans="4:8">
      <c r="D108" s="46"/>
      <c r="E108" s="46"/>
      <c r="F108" s="46"/>
      <c r="G108" s="46"/>
      <c r="H108" s="46"/>
    </row>
    <row r="109" spans="4:8">
      <c r="D109" s="46"/>
      <c r="E109" s="46"/>
      <c r="F109" s="46"/>
      <c r="G109" s="46"/>
      <c r="H109" s="46"/>
    </row>
    <row r="110" spans="4:8">
      <c r="D110" s="46"/>
      <c r="E110" s="46"/>
      <c r="F110" s="46"/>
      <c r="G110" s="46"/>
      <c r="H110" s="46"/>
    </row>
    <row r="111" spans="4:8">
      <c r="D111" s="46"/>
      <c r="E111" s="46"/>
      <c r="F111" s="46"/>
      <c r="G111" s="46"/>
      <c r="H111" s="46"/>
    </row>
    <row r="112" spans="4:8">
      <c r="D112" s="46"/>
      <c r="E112" s="46"/>
      <c r="F112" s="46"/>
      <c r="G112" s="46"/>
      <c r="H112" s="46"/>
    </row>
    <row r="113" spans="4:8">
      <c r="D113" s="46"/>
      <c r="E113" s="46"/>
      <c r="F113" s="46"/>
      <c r="G113" s="46"/>
      <c r="H113" s="46"/>
    </row>
    <row r="114" spans="4:8">
      <c r="D114" s="46"/>
      <c r="E114" s="46"/>
      <c r="F114" s="46"/>
      <c r="G114" s="46"/>
      <c r="H114" s="46"/>
    </row>
    <row r="115" spans="4:8">
      <c r="D115" s="46"/>
      <c r="E115" s="46"/>
      <c r="F115" s="46"/>
      <c r="G115" s="46"/>
      <c r="H115" s="46"/>
    </row>
    <row r="116" spans="4:8">
      <c r="D116" s="46"/>
      <c r="E116" s="46"/>
      <c r="F116" s="46"/>
      <c r="G116" s="46"/>
      <c r="H116" s="46"/>
    </row>
    <row r="117" spans="4:8">
      <c r="D117" s="46"/>
      <c r="E117" s="46"/>
      <c r="F117" s="46"/>
      <c r="G117" s="46"/>
      <c r="H117" s="46"/>
    </row>
    <row r="118" spans="4:8">
      <c r="D118" s="46"/>
      <c r="E118" s="46"/>
      <c r="F118" s="46"/>
      <c r="G118" s="46"/>
      <c r="H118" s="46"/>
    </row>
    <row r="119" spans="4:8">
      <c r="D119" s="46"/>
      <c r="E119" s="46"/>
      <c r="F119" s="46"/>
      <c r="G119" s="46"/>
      <c r="H119" s="46"/>
    </row>
    <row r="120" spans="4:8">
      <c r="D120" s="46"/>
      <c r="E120" s="46"/>
      <c r="F120" s="46"/>
      <c r="G120" s="46"/>
      <c r="H120" s="46"/>
    </row>
    <row r="121" spans="4:8">
      <c r="D121" s="46"/>
      <c r="E121" s="46"/>
      <c r="F121" s="46"/>
      <c r="G121" s="46"/>
      <c r="H121" s="46"/>
    </row>
    <row r="122" spans="4:8">
      <c r="D122" s="46"/>
      <c r="E122" s="46"/>
      <c r="F122" s="46"/>
      <c r="G122" s="46"/>
      <c r="H122" s="46"/>
    </row>
    <row r="123" spans="4:8">
      <c r="D123" s="46"/>
      <c r="E123" s="46"/>
      <c r="F123" s="46"/>
      <c r="G123" s="46"/>
      <c r="H123" s="46"/>
    </row>
    <row r="124" spans="4:8">
      <c r="D124" s="46"/>
      <c r="E124" s="46"/>
      <c r="F124" s="46"/>
      <c r="G124" s="46"/>
      <c r="H124" s="46"/>
    </row>
    <row r="125" spans="4:8">
      <c r="D125" s="46"/>
      <c r="E125" s="46"/>
      <c r="F125" s="46"/>
      <c r="G125" s="46"/>
      <c r="H125" s="46"/>
    </row>
    <row r="126" spans="4:8">
      <c r="D126" s="46"/>
      <c r="E126" s="46"/>
      <c r="F126" s="46"/>
      <c r="G126" s="46"/>
      <c r="H126" s="46"/>
    </row>
    <row r="127" spans="4:8">
      <c r="D127" s="46"/>
      <c r="E127" s="46"/>
      <c r="F127" s="46"/>
      <c r="G127" s="46"/>
      <c r="H127" s="46"/>
    </row>
    <row r="128" spans="4:8">
      <c r="D128" s="46"/>
      <c r="E128" s="46"/>
      <c r="F128" s="46"/>
      <c r="G128" s="46"/>
      <c r="H128" s="46"/>
    </row>
    <row r="129" spans="4:8">
      <c r="D129" s="46"/>
      <c r="E129" s="46"/>
      <c r="F129" s="46"/>
      <c r="G129" s="46"/>
      <c r="H129" s="46"/>
    </row>
    <row r="130" spans="4:8">
      <c r="D130" s="46"/>
      <c r="E130" s="46"/>
      <c r="F130" s="46"/>
      <c r="G130" s="46"/>
      <c r="H130" s="46"/>
    </row>
    <row r="131" spans="4:8">
      <c r="D131" s="46"/>
      <c r="E131" s="46"/>
      <c r="F131" s="46"/>
      <c r="G131" s="46"/>
      <c r="H131" s="46"/>
    </row>
    <row r="132" spans="4:8">
      <c r="D132" s="46"/>
      <c r="E132" s="46"/>
      <c r="F132" s="46"/>
      <c r="G132" s="46"/>
      <c r="H132" s="46"/>
    </row>
    <row r="133" spans="4:8">
      <c r="D133" s="46"/>
      <c r="E133" s="46"/>
      <c r="F133" s="46"/>
      <c r="G133" s="46"/>
      <c r="H133" s="46"/>
    </row>
    <row r="134" spans="4:8">
      <c r="D134" s="46"/>
      <c r="E134" s="46"/>
      <c r="F134" s="46"/>
      <c r="G134" s="46"/>
      <c r="H134" s="46"/>
    </row>
    <row r="135" spans="4:8">
      <c r="D135" s="46"/>
      <c r="E135" s="46"/>
      <c r="F135" s="46"/>
      <c r="G135" s="46"/>
      <c r="H135" s="46"/>
    </row>
    <row r="136" spans="4:8">
      <c r="D136" s="46"/>
      <c r="E136" s="46"/>
      <c r="F136" s="46"/>
      <c r="G136" s="46"/>
      <c r="H136" s="46"/>
    </row>
    <row r="137" spans="4:8">
      <c r="D137" s="46"/>
      <c r="E137" s="46"/>
      <c r="F137" s="46"/>
      <c r="G137" s="46"/>
      <c r="H137" s="46"/>
    </row>
    <row r="138" spans="4:8">
      <c r="D138" s="46"/>
      <c r="E138" s="46"/>
      <c r="F138" s="46"/>
      <c r="G138" s="46"/>
      <c r="H138" s="46"/>
    </row>
    <row r="139" spans="4:8">
      <c r="D139" s="46"/>
      <c r="E139" s="46"/>
      <c r="F139" s="46"/>
      <c r="G139" s="46"/>
      <c r="H139" s="46"/>
    </row>
    <row r="140" spans="4:8">
      <c r="D140" s="46"/>
      <c r="E140" s="46"/>
      <c r="F140" s="46"/>
      <c r="G140" s="46"/>
      <c r="H140" s="46"/>
    </row>
    <row r="141" spans="4:8">
      <c r="D141" s="46"/>
      <c r="E141" s="46"/>
      <c r="F141" s="46"/>
      <c r="G141" s="46"/>
      <c r="H141" s="46"/>
    </row>
    <row r="142" spans="4:8">
      <c r="D142" s="46"/>
      <c r="E142" s="46"/>
      <c r="F142" s="46"/>
      <c r="G142" s="46"/>
      <c r="H142" s="46"/>
    </row>
    <row r="143" spans="4:8">
      <c r="D143" s="46"/>
      <c r="E143" s="46"/>
      <c r="F143" s="46"/>
      <c r="G143" s="46"/>
      <c r="H143" s="46"/>
    </row>
    <row r="144" spans="4:8">
      <c r="D144" s="46"/>
      <c r="E144" s="46"/>
      <c r="F144" s="46"/>
      <c r="G144" s="46"/>
      <c r="H144" s="46"/>
    </row>
    <row r="145" spans="4:8">
      <c r="D145" s="46"/>
      <c r="E145" s="46"/>
      <c r="F145" s="46"/>
      <c r="G145" s="46"/>
      <c r="H145" s="46"/>
    </row>
    <row r="146" spans="4:8">
      <c r="D146" s="46"/>
      <c r="E146" s="46"/>
      <c r="F146" s="46"/>
      <c r="G146" s="46"/>
      <c r="H146" s="46"/>
    </row>
    <row r="147" spans="4:8">
      <c r="D147" s="46"/>
      <c r="E147" s="46"/>
      <c r="F147" s="46"/>
      <c r="G147" s="46"/>
      <c r="H147" s="46"/>
    </row>
    <row r="148" spans="4:8">
      <c r="D148" s="46"/>
      <c r="E148" s="46"/>
      <c r="F148" s="46"/>
      <c r="G148" s="46"/>
      <c r="H148" s="46"/>
    </row>
    <row r="149" spans="4:8">
      <c r="D149" s="46"/>
      <c r="E149" s="46"/>
      <c r="F149" s="46"/>
      <c r="G149" s="46"/>
      <c r="H149" s="46"/>
    </row>
    <row r="150" spans="4:8">
      <c r="D150" s="46"/>
      <c r="E150" s="46"/>
      <c r="F150" s="46"/>
      <c r="G150" s="46"/>
      <c r="H150" s="46"/>
    </row>
    <row r="151" spans="4:8">
      <c r="D151" s="46"/>
      <c r="E151" s="46"/>
      <c r="F151" s="46"/>
      <c r="G151" s="46"/>
      <c r="H151" s="46"/>
    </row>
    <row r="152" spans="4:8">
      <c r="D152" s="46"/>
      <c r="E152" s="46"/>
      <c r="F152" s="46"/>
      <c r="G152" s="46"/>
      <c r="H152" s="46"/>
    </row>
    <row r="153" spans="4:8">
      <c r="D153" s="46"/>
      <c r="E153" s="46"/>
      <c r="F153" s="46"/>
      <c r="G153" s="46"/>
      <c r="H153" s="46"/>
    </row>
    <row r="154" spans="4:8">
      <c r="D154" s="46"/>
      <c r="E154" s="46"/>
      <c r="F154" s="46"/>
      <c r="G154" s="46"/>
      <c r="H154" s="46"/>
    </row>
    <row r="155" spans="4:8">
      <c r="D155" s="46"/>
      <c r="E155" s="46"/>
      <c r="F155" s="46"/>
      <c r="G155" s="46"/>
      <c r="H155" s="46"/>
    </row>
    <row r="156" spans="4:8">
      <c r="D156" s="46"/>
      <c r="E156" s="46"/>
      <c r="F156" s="46"/>
      <c r="G156" s="46"/>
      <c r="H156" s="46"/>
    </row>
    <row r="157" spans="4:8">
      <c r="D157" s="46"/>
      <c r="E157" s="46"/>
      <c r="F157" s="46"/>
      <c r="G157" s="46"/>
      <c r="H157" s="46"/>
    </row>
    <row r="158" spans="4:8">
      <c r="D158" s="46"/>
      <c r="E158" s="46"/>
      <c r="F158" s="46"/>
      <c r="G158" s="46"/>
      <c r="H158" s="46"/>
    </row>
    <row r="159" spans="4:8">
      <c r="D159" s="46"/>
      <c r="E159" s="46"/>
      <c r="F159" s="46"/>
      <c r="G159" s="46"/>
      <c r="H159" s="46"/>
    </row>
    <row r="160" spans="4:8">
      <c r="D160" s="46"/>
      <c r="E160" s="46"/>
      <c r="F160" s="46"/>
      <c r="G160" s="46"/>
      <c r="H160" s="46"/>
    </row>
    <row r="161" spans="4:8">
      <c r="D161" s="46"/>
      <c r="E161" s="46"/>
      <c r="F161" s="46"/>
      <c r="G161" s="46"/>
      <c r="H161" s="46"/>
    </row>
    <row r="162" spans="4:8">
      <c r="D162" s="46"/>
      <c r="E162" s="46"/>
      <c r="F162" s="46"/>
      <c r="G162" s="46"/>
      <c r="H162" s="46"/>
    </row>
    <row r="163" spans="4:8">
      <c r="D163" s="46"/>
      <c r="E163" s="46"/>
      <c r="F163" s="46"/>
      <c r="G163" s="46"/>
      <c r="H163" s="46"/>
    </row>
    <row r="164" spans="4:8">
      <c r="D164" s="46"/>
      <c r="E164" s="46"/>
      <c r="F164" s="46"/>
      <c r="G164" s="46"/>
      <c r="H164" s="46"/>
    </row>
    <row r="165" spans="4:8">
      <c r="D165" s="46"/>
      <c r="E165" s="46"/>
      <c r="F165" s="46"/>
      <c r="G165" s="46"/>
      <c r="H165" s="46"/>
    </row>
    <row r="166" spans="4:8">
      <c r="D166" s="46"/>
      <c r="E166" s="46"/>
      <c r="F166" s="46"/>
      <c r="G166" s="46"/>
      <c r="H166" s="46"/>
    </row>
    <row r="167" spans="4:8">
      <c r="D167" s="46"/>
      <c r="E167" s="46"/>
      <c r="F167" s="46"/>
      <c r="G167" s="46"/>
      <c r="H167" s="46"/>
    </row>
    <row r="168" spans="4:8">
      <c r="D168" s="46"/>
      <c r="E168" s="46"/>
      <c r="F168" s="46"/>
      <c r="G168" s="46"/>
      <c r="H168" s="46"/>
    </row>
    <row r="169" spans="4:8">
      <c r="D169" s="46"/>
      <c r="E169" s="46"/>
      <c r="F169" s="46"/>
      <c r="G169" s="46"/>
      <c r="H169" s="46"/>
    </row>
    <row r="170" spans="4:8">
      <c r="D170" s="46"/>
      <c r="E170" s="46"/>
      <c r="F170" s="46"/>
      <c r="G170" s="46"/>
      <c r="H170" s="46"/>
    </row>
    <row r="171" spans="4:8">
      <c r="D171" s="46"/>
      <c r="E171" s="46"/>
      <c r="F171" s="46"/>
      <c r="G171" s="46"/>
      <c r="H171" s="46"/>
    </row>
  </sheetData>
  <sheetProtection selectLockedCells="1" selectUnlockedCells="1"/>
  <dataConsolidate/>
  <mergeCells count="19">
    <mergeCell ref="B61:AD61"/>
    <mergeCell ref="B27:E27"/>
    <mergeCell ref="B24:M24"/>
    <mergeCell ref="L15:M15"/>
    <mergeCell ref="L16:M16"/>
    <mergeCell ref="F27:H27"/>
    <mergeCell ref="L17:M17"/>
    <mergeCell ref="L18:M18"/>
    <mergeCell ref="L19:M19"/>
    <mergeCell ref="L20:M20"/>
    <mergeCell ref="L21:M21"/>
    <mergeCell ref="I18:K18"/>
    <mergeCell ref="B14:D14"/>
    <mergeCell ref="I12:M12"/>
    <mergeCell ref="F9:H9"/>
    <mergeCell ref="L13:M13"/>
    <mergeCell ref="L14:M14"/>
    <mergeCell ref="B11:D11"/>
    <mergeCell ref="B13:D13"/>
  </mergeCells>
  <conditionalFormatting sqref="H28:H60 C60 I60 K60 M60">
    <cfRule type="cellIs" dxfId="31" priority="78" stopIfTrue="1" operator="equal">
      <formula>""</formula>
    </cfRule>
  </conditionalFormatting>
  <conditionalFormatting sqref="J28:L28">
    <cfRule type="expression" dxfId="30" priority="76" stopIfTrue="1">
      <formula>$K$26&gt;79</formula>
    </cfRule>
  </conditionalFormatting>
  <conditionalFormatting sqref="L29:L60">
    <cfRule type="containsErrors" dxfId="29" priority="82" stopIfTrue="1">
      <formula>ISERROR(L29)</formula>
    </cfRule>
  </conditionalFormatting>
  <conditionalFormatting sqref="L29:L60">
    <cfRule type="expression" dxfId="28" priority="66" stopIfTrue="1">
      <formula>J&gt;79</formula>
    </cfRule>
  </conditionalFormatting>
  <conditionalFormatting sqref="D60">
    <cfRule type="containsErrors" dxfId="27" priority="64" stopIfTrue="1">
      <formula>ISERROR(D60)</formula>
    </cfRule>
  </conditionalFormatting>
  <conditionalFormatting sqref="F29:F59">
    <cfRule type="expression" dxfId="26" priority="63" stopIfTrue="1">
      <formula>G29&gt;69</formula>
    </cfRule>
  </conditionalFormatting>
  <conditionalFormatting sqref="F49:F59">
    <cfRule type="expression" dxfId="25" priority="58" stopIfTrue="1">
      <formula>C49&gt;79</formula>
    </cfRule>
    <cfRule type="containsErrors" dxfId="24" priority="59" stopIfTrue="1">
      <formula>ISERROR(F49)</formula>
    </cfRule>
  </conditionalFormatting>
  <conditionalFormatting sqref="I28">
    <cfRule type="expression" dxfId="23" priority="57" stopIfTrue="1">
      <formula>$K$26&gt;79</formula>
    </cfRule>
  </conditionalFormatting>
  <conditionalFormatting sqref="F44:F48">
    <cfRule type="expression" dxfId="22" priority="55" stopIfTrue="1">
      <formula>C44&gt;79</formula>
    </cfRule>
    <cfRule type="containsErrors" dxfId="21" priority="56" stopIfTrue="1">
      <formula>ISERROR(F44)</formula>
    </cfRule>
  </conditionalFormatting>
  <conditionalFormatting sqref="F35:F43">
    <cfRule type="expression" dxfId="20" priority="53" stopIfTrue="1">
      <formula>C35&gt;79</formula>
    </cfRule>
    <cfRule type="containsErrors" dxfId="19" priority="54" stopIfTrue="1">
      <formula>ISERROR(F35)</formula>
    </cfRule>
  </conditionalFormatting>
  <conditionalFormatting sqref="M29:M59">
    <cfRule type="expression" dxfId="18" priority="52" stopIfTrue="1">
      <formula>N29&gt;79</formula>
    </cfRule>
  </conditionalFormatting>
  <conditionalFormatting sqref="M29:M59">
    <cfRule type="expression" dxfId="17" priority="50" stopIfTrue="1">
      <formula>J29&gt;79</formula>
    </cfRule>
    <cfRule type="containsErrors" dxfId="16" priority="51" stopIfTrue="1">
      <formula>ISERROR(M29)</formula>
    </cfRule>
  </conditionalFormatting>
  <conditionalFormatting sqref="L29:M59 L30:L60">
    <cfRule type="cellIs" dxfId="15" priority="46" operator="equal">
      <formula>0</formula>
    </cfRule>
  </conditionalFormatting>
  <conditionalFormatting sqref="F29:F59">
    <cfRule type="cellIs" dxfId="14" priority="45" operator="equal">
      <formula>0</formula>
    </cfRule>
  </conditionalFormatting>
  <conditionalFormatting sqref="F28">
    <cfRule type="expression" dxfId="13" priority="41">
      <formula>$F$29=0</formula>
    </cfRule>
  </conditionalFormatting>
  <conditionalFormatting sqref="K29:K59 K30:L30">
    <cfRule type="containsErrors" dxfId="12" priority="38" stopIfTrue="1">
      <formula>ISERROR(K29)</formula>
    </cfRule>
  </conditionalFormatting>
  <conditionalFormatting sqref="K29:K59 K30:L30">
    <cfRule type="cellIs" dxfId="11" priority="37" operator="equal">
      <formula>0</formula>
    </cfRule>
  </conditionalFormatting>
  <conditionalFormatting sqref="K30:M30">
    <cfRule type="expression" dxfId="10" priority="36" stopIfTrue="1">
      <formula>$J$29&gt;79</formula>
    </cfRule>
  </conditionalFormatting>
  <conditionalFormatting sqref="J29:J60">
    <cfRule type="cellIs" dxfId="9" priority="25" operator="greaterThan">
      <formula>79</formula>
    </cfRule>
  </conditionalFormatting>
  <conditionalFormatting sqref="D29:D59">
    <cfRule type="containsErrors" dxfId="8" priority="18" stopIfTrue="1">
      <formula>ISERROR(D29)</formula>
    </cfRule>
  </conditionalFormatting>
  <conditionalFormatting sqref="D29:D59">
    <cfRule type="cellIs" dxfId="7" priority="17" operator="equal">
      <formula>0</formula>
    </cfRule>
  </conditionalFormatting>
  <conditionalFormatting sqref="E29:E59">
    <cfRule type="containsErrors" dxfId="6" priority="16" stopIfTrue="1">
      <formula>ISERROR(E29)</formula>
    </cfRule>
  </conditionalFormatting>
  <conditionalFormatting sqref="E29:E59">
    <cfRule type="cellIs" dxfId="5" priority="15" operator="equal">
      <formula>0</formula>
    </cfRule>
  </conditionalFormatting>
  <conditionalFormatting sqref="C29:C59">
    <cfRule type="cellIs" dxfId="4" priority="7" operator="greaterThan">
      <formula>79</formula>
    </cfRule>
  </conditionalFormatting>
  <conditionalFormatting sqref="B29:B59">
    <cfRule type="expression" dxfId="3" priority="5">
      <formula>D29=0</formula>
    </cfRule>
  </conditionalFormatting>
  <conditionalFormatting sqref="I29:I59">
    <cfRule type="expression" dxfId="2" priority="3">
      <formula>K29=0</formula>
    </cfRule>
  </conditionalFormatting>
  <conditionalFormatting sqref="I20:K21 I21:M21">
    <cfRule type="expression" dxfId="1" priority="2">
      <formula>$L$11="Estándar"</formula>
    </cfRule>
  </conditionalFormatting>
  <conditionalFormatting sqref="M28">
    <cfRule type="expression" dxfId="0" priority="1">
      <formula>$F$29=0</formula>
    </cfRule>
  </conditionalFormatting>
  <dataValidations disablePrompts="1" count="1">
    <dataValidation type="list" allowBlank="1" showInputMessage="1" showErrorMessage="1" sqref="Q1:Q3">
      <formula1>"Modulo 1, Modulo 2, Modulo 3,"</formula1>
    </dataValidation>
  </dataValidations>
  <printOptions horizontalCentered="1" verticalCentered="1"/>
  <pageMargins left="0.23622047244094491" right="0.23622047244094491" top="0.19685039370078741" bottom="0.39370078740157483" header="0.31496062992125984" footer="0.31496062992125984"/>
  <pageSetup scale="6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T88"/>
  <sheetViews>
    <sheetView zoomScale="82" zoomScaleNormal="82" workbookViewId="0">
      <selection activeCell="G9" sqref="G9"/>
    </sheetView>
  </sheetViews>
  <sheetFormatPr baseColWidth="10" defaultRowHeight="12.75"/>
  <cols>
    <col min="1" max="1" width="37.28515625" customWidth="1"/>
    <col min="3" max="3" width="15.140625" bestFit="1" customWidth="1"/>
    <col min="7" max="7" width="4.7109375" customWidth="1"/>
    <col min="8" max="12" width="11.42578125" hidden="1" customWidth="1"/>
    <col min="14" max="14" width="10.28515625" bestFit="1" customWidth="1"/>
    <col min="15" max="15" width="12" style="1" bestFit="1" customWidth="1"/>
    <col min="16" max="16" width="14.7109375" style="1" bestFit="1" customWidth="1"/>
    <col min="17" max="17" width="4.42578125" style="1" bestFit="1" customWidth="1"/>
    <col min="18" max="18" width="16.5703125" style="1" customWidth="1"/>
    <col min="19" max="19" width="19.85546875" style="1" bestFit="1" customWidth="1"/>
    <col min="20" max="20" width="24.7109375" style="1" customWidth="1"/>
    <col min="21" max="21" width="15.7109375" style="1" bestFit="1" customWidth="1"/>
    <col min="22" max="22" width="12.28515625" style="1" bestFit="1" customWidth="1"/>
    <col min="23" max="23" width="11" style="1" bestFit="1" customWidth="1"/>
    <col min="24" max="24" width="13.42578125" bestFit="1" customWidth="1"/>
    <col min="29" max="29" width="12.28515625" bestFit="1" customWidth="1"/>
    <col min="34" max="34" width="13.42578125" bestFit="1" customWidth="1"/>
    <col min="35" max="35" width="0.28515625" hidden="1" customWidth="1"/>
    <col min="36" max="36" width="16.140625" customWidth="1"/>
    <col min="37" max="37" width="14.140625" bestFit="1" customWidth="1"/>
    <col min="46" max="46" width="13.42578125" bestFit="1" customWidth="1"/>
  </cols>
  <sheetData>
    <row r="1" spans="1:46">
      <c r="A1" s="61" t="s">
        <v>41</v>
      </c>
      <c r="B1" t="str">
        <f>IF(Inicio!E8="Masculino","M","F")</f>
        <v>F</v>
      </c>
      <c r="N1" s="155" t="s">
        <v>37</v>
      </c>
      <c r="O1" s="155"/>
      <c r="P1" s="155"/>
      <c r="Q1" s="155"/>
      <c r="R1" s="155"/>
      <c r="S1" s="155"/>
      <c r="T1" s="155"/>
      <c r="U1" s="155"/>
      <c r="V1" s="155"/>
      <c r="W1" s="155"/>
      <c r="X1" s="156" t="s">
        <v>36</v>
      </c>
      <c r="Y1" s="156"/>
      <c r="Z1" s="156"/>
      <c r="AA1" s="156"/>
      <c r="AB1" s="156"/>
      <c r="AC1" s="156"/>
      <c r="AD1" s="156"/>
      <c r="AE1" s="156"/>
      <c r="AF1" s="156"/>
      <c r="AG1" s="156"/>
      <c r="AI1" s="2" t="s">
        <v>80</v>
      </c>
      <c r="AJ1" s="157" t="s">
        <v>81</v>
      </c>
      <c r="AK1" s="71">
        <v>0.25</v>
      </c>
      <c r="AL1" s="71">
        <v>0.25</v>
      </c>
      <c r="AM1" s="71"/>
      <c r="AN1" s="71"/>
      <c r="AO1" s="71"/>
      <c r="AP1" s="71"/>
      <c r="AQ1" s="71"/>
      <c r="AR1" s="71"/>
      <c r="AS1" s="71"/>
    </row>
    <row r="2" spans="1:46">
      <c r="A2" t="s">
        <v>0</v>
      </c>
      <c r="B2" s="2">
        <f>+Inicio!E9</f>
        <v>51</v>
      </c>
      <c r="H2" s="2"/>
      <c r="I2" s="2" t="s">
        <v>60</v>
      </c>
      <c r="J2" s="2" t="s">
        <v>21</v>
      </c>
      <c r="N2" s="78" t="s">
        <v>3</v>
      </c>
      <c r="O2" s="77" t="s">
        <v>42</v>
      </c>
      <c r="P2" s="77" t="s">
        <v>32</v>
      </c>
      <c r="Q2" s="77" t="s">
        <v>48</v>
      </c>
      <c r="R2" s="77" t="s">
        <v>59</v>
      </c>
      <c r="S2" s="77" t="s">
        <v>45</v>
      </c>
      <c r="T2" s="77" t="s">
        <v>46</v>
      </c>
      <c r="U2" s="77" t="s">
        <v>56</v>
      </c>
      <c r="V2" s="77" t="s">
        <v>57</v>
      </c>
      <c r="W2" s="77" t="s">
        <v>58</v>
      </c>
      <c r="X2" s="73" t="s">
        <v>42</v>
      </c>
      <c r="Y2" s="74" t="s">
        <v>32</v>
      </c>
      <c r="Z2" s="74" t="s">
        <v>48</v>
      </c>
      <c r="AA2" s="73" t="s">
        <v>59</v>
      </c>
      <c r="AB2" s="74" t="s">
        <v>45</v>
      </c>
      <c r="AC2" s="74" t="s">
        <v>46</v>
      </c>
      <c r="AD2" s="74" t="s">
        <v>56</v>
      </c>
      <c r="AE2" s="74" t="s">
        <v>57</v>
      </c>
      <c r="AF2" s="74" t="s">
        <v>58</v>
      </c>
      <c r="AG2" s="75"/>
      <c r="AH2" s="76" t="s">
        <v>33</v>
      </c>
      <c r="AJ2" s="157"/>
      <c r="AK2" s="129" t="s">
        <v>42</v>
      </c>
      <c r="AL2" s="129" t="s">
        <v>32</v>
      </c>
      <c r="AM2" s="129" t="s">
        <v>48</v>
      </c>
      <c r="AN2" s="129" t="s">
        <v>59</v>
      </c>
      <c r="AO2" s="129" t="s">
        <v>45</v>
      </c>
      <c r="AP2" s="129" t="s">
        <v>46</v>
      </c>
      <c r="AQ2" s="129" t="s">
        <v>56</v>
      </c>
      <c r="AR2" s="129" t="s">
        <v>57</v>
      </c>
      <c r="AS2" s="129" t="s">
        <v>58</v>
      </c>
      <c r="AT2" s="76" t="s">
        <v>33</v>
      </c>
    </row>
    <row r="3" spans="1:46">
      <c r="A3" t="s">
        <v>47</v>
      </c>
      <c r="C3" s="61" t="s">
        <v>34</v>
      </c>
      <c r="D3" s="61" t="s">
        <v>10</v>
      </c>
      <c r="E3" s="61" t="s">
        <v>49</v>
      </c>
      <c r="N3">
        <f>+Inicio!E9</f>
        <v>51</v>
      </c>
      <c r="O3" s="1">
        <f>IF(N3&lt;80,C4,0)</f>
        <v>1500000000</v>
      </c>
      <c r="P3" s="1">
        <f>IF(N3&lt;70,C5,0)</f>
        <v>7000000</v>
      </c>
      <c r="Q3" s="1">
        <f>IF(N3&lt;70,C6,0)</f>
        <v>1500000000</v>
      </c>
      <c r="R3" s="1">
        <f>IF(N3&lt;70,C7,0)</f>
        <v>1500000000</v>
      </c>
      <c r="S3" s="1">
        <f>IF(N3&lt;70,C8,0)</f>
        <v>0</v>
      </c>
      <c r="T3" s="1">
        <f>IF(N3&lt;70,C9,0)</f>
        <v>0</v>
      </c>
      <c r="U3" s="1">
        <f>IF(N3&lt;70,C10,0)</f>
        <v>0</v>
      </c>
      <c r="V3" s="1">
        <f>IF(N3&lt;70,C11,0)</f>
        <v>0</v>
      </c>
      <c r="W3" s="1">
        <f>IF(N3&lt;70,C12,0)</f>
        <v>0</v>
      </c>
      <c r="X3" s="72">
        <f>IF(B1="M",(VLOOKUP(N3,Tasas!$A$3:$C$65,2)*O3),(VLOOKUP(N3,Tasas!$A$3:$C$65,3)*O3))</f>
        <v>5838000</v>
      </c>
      <c r="Y3" s="60">
        <f>IF(B1="M",(VLOOKUP(N3,Tasas!$A$3:$C$65,2)*P3),(VLOOKUP(N3,Tasas!$A$3:$C$65,3)*P3))</f>
        <v>27244</v>
      </c>
      <c r="Z3" s="72">
        <f>IF(B1="M",(VLOOKUP(N3,Tasas!$M$3:$O$55,2)*Q3),(VLOOKUP(N3,Tasas!$M$3:$O$55,3)*Q3))</f>
        <v>1725000</v>
      </c>
      <c r="AA3" s="72">
        <f>IF(B1="M",(VLOOKUP(N3,Tasas!$E$3:$G$55,2)*R3),(VLOOKUP(N3,Tasas!$E$3:$G$55,3)*R3))</f>
        <v>3786000.0000000005</v>
      </c>
      <c r="AB3" s="72">
        <f>IF($B$1="M",(VLOOKUP(N3,Tasas!$I$3:$K$55,2)*S3),(VLOOKUP(N3,Tasas!$I$3:$K$55,3)*S3))</f>
        <v>0</v>
      </c>
      <c r="AC3" s="72">
        <f>+T3*Tasas!$R$2</f>
        <v>0</v>
      </c>
      <c r="AD3" s="72">
        <f>U3*Tasas!$R$3</f>
        <v>0</v>
      </c>
      <c r="AE3" s="72">
        <f>+V3*Tasas!$R$4</f>
        <v>0</v>
      </c>
      <c r="AF3" s="72">
        <f>+W3*Tasas!$R$5</f>
        <v>0</v>
      </c>
      <c r="AG3" s="72">
        <v>0</v>
      </c>
      <c r="AH3" s="72">
        <f>SUM(X3:AF3)</f>
        <v>11376244</v>
      </c>
      <c r="AI3" s="72">
        <f>+AH3-(AH3*0.4)</f>
        <v>6825746.3999999994</v>
      </c>
      <c r="AJ3" s="72"/>
      <c r="AK3" s="60">
        <f>+X3*(1+$AK$1)</f>
        <v>7297500</v>
      </c>
      <c r="AL3" s="60">
        <f>+Y3*(1+$AL$1)</f>
        <v>34055</v>
      </c>
      <c r="AM3" s="60">
        <f>+Z3*(1+$AM$1)</f>
        <v>1725000</v>
      </c>
      <c r="AN3" s="60">
        <f>+AA3*(1+$AN$1)</f>
        <v>3786000.0000000005</v>
      </c>
      <c r="AO3" s="60">
        <f>+AB3*(1+$AO$1)</f>
        <v>0</v>
      </c>
      <c r="AP3" s="60">
        <f>+AC3*(1+$AP$1)</f>
        <v>0</v>
      </c>
      <c r="AQ3" s="60">
        <f>+AD3*(1+$AQ$1)</f>
        <v>0</v>
      </c>
      <c r="AR3" s="60">
        <f>+AE3*(1+$AR$1)</f>
        <v>0</v>
      </c>
      <c r="AS3" s="60">
        <f>+AF3*(1+$AS$1)</f>
        <v>0</v>
      </c>
      <c r="AT3" s="130">
        <f>SUM(AK3:AS3)</f>
        <v>12842555</v>
      </c>
    </row>
    <row r="4" spans="1:46" ht="15.75">
      <c r="A4" s="97" t="s">
        <v>42</v>
      </c>
      <c r="B4" t="str">
        <f>+Inicio!E13</f>
        <v xml:space="preserve">Si </v>
      </c>
      <c r="C4" s="1">
        <f>+Inicio!H13</f>
        <v>1500000000</v>
      </c>
      <c r="D4" s="71">
        <f>+Inicio!E23</f>
        <v>0.03</v>
      </c>
      <c r="E4" s="1">
        <f t="shared" ref="E4:E9" si="0">+D4*C4</f>
        <v>45000000</v>
      </c>
      <c r="I4" s="70" t="s">
        <v>10</v>
      </c>
      <c r="J4" s="71">
        <f>+Inicio!E23</f>
        <v>0.03</v>
      </c>
      <c r="K4">
        <f>+J3*J4</f>
        <v>0</v>
      </c>
      <c r="N4">
        <f>+N3+1</f>
        <v>52</v>
      </c>
      <c r="O4" s="1">
        <f>IF(N4&lt;80,O3+$E$4,0)</f>
        <v>1545000000</v>
      </c>
      <c r="P4" s="1">
        <f>IF(N4&lt;80,P3+$E$5,0)</f>
        <v>7210000</v>
      </c>
      <c r="Q4" s="1">
        <f>IF(N4&lt;70,Q3+$E$6,0)</f>
        <v>1545000000</v>
      </c>
      <c r="R4" s="1">
        <f>IF(N4&lt;70,R3+$E$7,0)</f>
        <v>1545000000</v>
      </c>
      <c r="S4" s="1">
        <f>IF(N4&lt;70,S3+$E$8,0)</f>
        <v>0</v>
      </c>
      <c r="T4" s="1">
        <f>IF(N4&lt;70,T3+$E$9,0)</f>
        <v>0</v>
      </c>
      <c r="U4" s="1">
        <f>IF(N4&lt;70,U3,0)</f>
        <v>0</v>
      </c>
      <c r="V4" s="1">
        <f>IF(N4&lt;70,V3,0)</f>
        <v>0</v>
      </c>
      <c r="W4" s="1">
        <f>IF(N4&lt;70,W3,0)</f>
        <v>0</v>
      </c>
      <c r="X4" s="72">
        <f>IF($B$1="M",(VLOOKUP(N4,Tasas!$A$3:$C$65,2)*O4),(VLOOKUP(N4,Tasas!$A$3:$C$65,3)*O4))</f>
        <v>6424110</v>
      </c>
      <c r="Y4" s="60">
        <f>IF($B$1="M",(VLOOKUP(N4,Tasas!$A$3:$C$65,2)*P4),(VLOOKUP(N4,Tasas!$A$3:$C$65,3)*P4))</f>
        <v>29979.18</v>
      </c>
      <c r="Z4" s="72">
        <f>IF($B$1="M",(VLOOKUP(N4,Tasas!$M$3:$O$55,2)*Q4),(VLOOKUP(N4,Tasas!$M$3:$O$55,3)*Q4))</f>
        <v>1897260</v>
      </c>
      <c r="AA4" s="72">
        <f>IF($B$1="M",(VLOOKUP(N4,Tasas!$E$3:$G$55,2)*R4),(VLOOKUP(N4,Tasas!$E$3:$G$55,3)*R4))</f>
        <v>3899580.0000000005</v>
      </c>
      <c r="AB4" s="72">
        <f>IF($B$1="M",(VLOOKUP(N4,Tasas!$I$3:$K$55,2)*S4),(VLOOKUP(N4,Tasas!$I$3:$K$55,3)*S4))</f>
        <v>0</v>
      </c>
      <c r="AC4" s="72">
        <f>+T4*Tasas!$R$2</f>
        <v>0</v>
      </c>
      <c r="AD4" s="72">
        <f>U4*Tasas!$R$3</f>
        <v>0</v>
      </c>
      <c r="AE4" s="72">
        <f>+V4*Tasas!$R$4</f>
        <v>0</v>
      </c>
      <c r="AF4" s="72">
        <f>+W4*Tasas!$R$5</f>
        <v>0</v>
      </c>
      <c r="AG4" s="72">
        <v>0</v>
      </c>
      <c r="AH4" s="72">
        <f t="shared" ref="AH4:AH67" si="1">SUM(X4:AG4)</f>
        <v>12250929.18</v>
      </c>
      <c r="AI4" s="72">
        <f t="shared" ref="AI4:AI67" si="2">+AH4-(X4*0.4)</f>
        <v>9681285.1799999997</v>
      </c>
      <c r="AJ4" s="72"/>
      <c r="AK4" s="60">
        <f t="shared" ref="AK4:AK67" si="3">+X4*(1+$AK$1)</f>
        <v>8030137.5</v>
      </c>
      <c r="AL4" s="60">
        <f t="shared" ref="AL4:AL67" si="4">+Y4*(1+$AL$1)</f>
        <v>37473.974999999999</v>
      </c>
      <c r="AM4" s="60">
        <f t="shared" ref="AM4:AM67" si="5">+Z4*(1+$AM$1)</f>
        <v>1897260</v>
      </c>
      <c r="AN4" s="60">
        <f t="shared" ref="AN4:AN67" si="6">+AA4*(1+$AN$1)</f>
        <v>3899580.0000000005</v>
      </c>
      <c r="AO4" s="60">
        <f t="shared" ref="AO4:AO67" si="7">+AB4*(1+$AO$1)</f>
        <v>0</v>
      </c>
      <c r="AP4" s="60">
        <f t="shared" ref="AP4:AP67" si="8">+AC4*(1+$AP$1)</f>
        <v>0</v>
      </c>
      <c r="AQ4" s="60">
        <f t="shared" ref="AQ4:AQ67" si="9">+AD4*(1+$AQ$1)</f>
        <v>0</v>
      </c>
      <c r="AR4" s="60">
        <f t="shared" ref="AR4:AR67" si="10">+AE4*(1+$AR$1)</f>
        <v>0</v>
      </c>
      <c r="AS4" s="60">
        <f t="shared" ref="AS4:AS67" si="11">+AF4*(1+$AS$1)</f>
        <v>0</v>
      </c>
      <c r="AT4" s="130">
        <f t="shared" ref="AT4:AT67" si="12">SUM(AK4:AS4)</f>
        <v>13864451.475</v>
      </c>
    </row>
    <row r="5" spans="1:46" ht="15.75">
      <c r="A5" s="97" t="s">
        <v>32</v>
      </c>
      <c r="B5" t="str">
        <f>+Inicio!E14</f>
        <v xml:space="preserve">Si </v>
      </c>
      <c r="C5" s="1">
        <f>+Inicio!H14</f>
        <v>7000000</v>
      </c>
      <c r="D5" s="71">
        <f>+Inicio!E23</f>
        <v>0.03</v>
      </c>
      <c r="E5" s="1">
        <f t="shared" si="0"/>
        <v>210000</v>
      </c>
      <c r="N5">
        <f t="shared" ref="N5:N68" si="13">+N4+1</f>
        <v>53</v>
      </c>
      <c r="O5" s="1">
        <f>IF(N5&lt;80,O4+$E$4,0)</f>
        <v>1590000000</v>
      </c>
      <c r="P5" s="1">
        <f t="shared" ref="P5:P68" si="14">IF(N5&lt;80,P4+$E$5,0)</f>
        <v>7420000</v>
      </c>
      <c r="Q5" s="1">
        <f t="shared" ref="Q5:Q68" si="15">IF(N5&lt;70,Q4+$E$6,0)</f>
        <v>1590000000</v>
      </c>
      <c r="R5" s="1">
        <f t="shared" ref="R5:R68" si="16">IF(N5&lt;70,R4+$E$7,0)</f>
        <v>1590000000</v>
      </c>
      <c r="S5" s="1">
        <f t="shared" ref="S5:S68" si="17">IF(N5&lt;70,S4+$E$8,0)</f>
        <v>0</v>
      </c>
      <c r="T5" s="1">
        <f t="shared" ref="T5:T68" si="18">IF(N5&lt;70,T4+$E$9,0)</f>
        <v>0</v>
      </c>
      <c r="U5" s="1">
        <f t="shared" ref="U5:U68" si="19">IF(N5&lt;70,U4,0)</f>
        <v>0</v>
      </c>
      <c r="V5" s="1">
        <f t="shared" ref="V5:V68" si="20">IF(N5&lt;70,V4,0)</f>
        <v>0</v>
      </c>
      <c r="W5" s="1">
        <f t="shared" ref="W5:W68" si="21">IF(N5&lt;70,W4,0)</f>
        <v>0</v>
      </c>
      <c r="X5" s="72">
        <f>IF($B$1="M",(VLOOKUP(N5,Tasas!$A$3:$C$65,2)*O5),(VLOOKUP(N5,Tasas!$A$3:$C$65,3)*O5))</f>
        <v>7118430</v>
      </c>
      <c r="Y5" s="60">
        <f>IF($B$1="M",(VLOOKUP(N5,Tasas!$A$3:$C$65,2)*P5),(VLOOKUP(N5,Tasas!$A$3:$C$65,3)*P5))</f>
        <v>33219.340000000004</v>
      </c>
      <c r="Z5" s="72">
        <f>IF($B$1="M",(VLOOKUP(N5,Tasas!$M$3:$O$55,2)*Q5),(VLOOKUP(N5,Tasas!$M$3:$O$55,3)*Q5))</f>
        <v>2101979.9999999995</v>
      </c>
      <c r="AA5" s="72">
        <f>IF($B$1="M",(VLOOKUP(N5,Tasas!$E$3:$G$55,2)*R5),(VLOOKUP(N5,Tasas!$E$3:$G$55,3)*R5))</f>
        <v>4514010</v>
      </c>
      <c r="AB5" s="72">
        <f>IF($B$1="M",(VLOOKUP(N5,Tasas!$I$3:$K$55,2)*S5),(VLOOKUP(N5,Tasas!$I$3:$K$55,3)*S5))</f>
        <v>0</v>
      </c>
      <c r="AC5" s="72">
        <f>+T5*Tasas!$R$2</f>
        <v>0</v>
      </c>
      <c r="AD5" s="72">
        <f>U5*Tasas!$R$3</f>
        <v>0</v>
      </c>
      <c r="AE5" s="72">
        <f>+V5*Tasas!$R$4</f>
        <v>0</v>
      </c>
      <c r="AF5" s="72">
        <f>+W5*Tasas!$R$5</f>
        <v>0</v>
      </c>
      <c r="AG5" s="72">
        <v>0</v>
      </c>
      <c r="AH5" s="72">
        <f t="shared" si="1"/>
        <v>13767639.34</v>
      </c>
      <c r="AI5" s="72">
        <f t="shared" si="2"/>
        <v>10920267.34</v>
      </c>
      <c r="AJ5" s="72"/>
      <c r="AK5" s="60">
        <f t="shared" si="3"/>
        <v>8898037.5</v>
      </c>
      <c r="AL5" s="60">
        <f t="shared" si="4"/>
        <v>41524.175000000003</v>
      </c>
      <c r="AM5" s="60">
        <f t="shared" si="5"/>
        <v>2101979.9999999995</v>
      </c>
      <c r="AN5" s="60">
        <f t="shared" si="6"/>
        <v>4514010</v>
      </c>
      <c r="AO5" s="60">
        <f t="shared" si="7"/>
        <v>0</v>
      </c>
      <c r="AP5" s="60">
        <f t="shared" si="8"/>
        <v>0</v>
      </c>
      <c r="AQ5" s="60">
        <f t="shared" si="9"/>
        <v>0</v>
      </c>
      <c r="AR5" s="60">
        <f t="shared" si="10"/>
        <v>0</v>
      </c>
      <c r="AS5" s="60">
        <f t="shared" si="11"/>
        <v>0</v>
      </c>
      <c r="AT5" s="130">
        <f t="shared" si="12"/>
        <v>15555551.675000001</v>
      </c>
    </row>
    <row r="6" spans="1:46" ht="36" customHeight="1">
      <c r="A6" s="98" t="s">
        <v>48</v>
      </c>
      <c r="B6" t="str">
        <f>+Inicio!E15</f>
        <v xml:space="preserve">Si </v>
      </c>
      <c r="C6" s="1">
        <f>+Inicio!H15</f>
        <v>1500000000</v>
      </c>
      <c r="D6" s="71">
        <f>+Inicio!E23</f>
        <v>0.03</v>
      </c>
      <c r="E6" s="1">
        <f t="shared" si="0"/>
        <v>45000000</v>
      </c>
      <c r="N6">
        <f t="shared" si="13"/>
        <v>54</v>
      </c>
      <c r="O6" s="1">
        <f t="shared" ref="O6:O69" si="22">IF(N6&lt;80,O5+$E$4,0)</f>
        <v>1635000000</v>
      </c>
      <c r="P6" s="1">
        <f t="shared" si="14"/>
        <v>7630000</v>
      </c>
      <c r="Q6" s="1">
        <f t="shared" si="15"/>
        <v>1635000000</v>
      </c>
      <c r="R6" s="1">
        <f t="shared" si="16"/>
        <v>1635000000</v>
      </c>
      <c r="S6" s="1">
        <f t="shared" si="17"/>
        <v>0</v>
      </c>
      <c r="T6" s="1">
        <f t="shared" si="18"/>
        <v>0</v>
      </c>
      <c r="U6" s="1">
        <f t="shared" si="19"/>
        <v>0</v>
      </c>
      <c r="V6" s="1">
        <f t="shared" si="20"/>
        <v>0</v>
      </c>
      <c r="W6" s="1">
        <f t="shared" si="21"/>
        <v>0</v>
      </c>
      <c r="X6" s="72">
        <f>IF($B$1="M",(VLOOKUP(N6,Tasas!$A$3:$C$65,2)*O6),(VLOOKUP(N6,Tasas!$A$3:$C$65,3)*O6))</f>
        <v>7991880</v>
      </c>
      <c r="Y6" s="60">
        <f>IF($B$1="M",(VLOOKUP(N6,Tasas!$A$3:$C$65,2)*P6),(VLOOKUP(N6,Tasas!$A$3:$C$65,3)*P6))</f>
        <v>37295.440000000002</v>
      </c>
      <c r="Z6" s="72">
        <f>IF($B$1="M",(VLOOKUP(N6,Tasas!$M$3:$O$55,2)*Q6),(VLOOKUP(N6,Tasas!$M$3:$O$55,3)*Q6))</f>
        <v>2360940</v>
      </c>
      <c r="AA6" s="72">
        <f>IF($B$1="M",(VLOOKUP(N6,Tasas!$E$3:$G$55,2)*R6),(VLOOKUP(N6,Tasas!$E$3:$G$55,3)*R6))</f>
        <v>4641765</v>
      </c>
      <c r="AB6" s="72">
        <f>IF($B$1="M",(VLOOKUP(N6,Tasas!$I$3:$K$55,2)*S6),(VLOOKUP(N6,Tasas!$I$3:$K$55,3)*S6))</f>
        <v>0</v>
      </c>
      <c r="AC6" s="72">
        <f>+T6*Tasas!$R$2</f>
        <v>0</v>
      </c>
      <c r="AD6" s="72">
        <f>U6*Tasas!$R$3</f>
        <v>0</v>
      </c>
      <c r="AE6" s="72">
        <f>+V6*Tasas!$R$4</f>
        <v>0</v>
      </c>
      <c r="AF6" s="72">
        <f>+W6*Tasas!$R$5</f>
        <v>0</v>
      </c>
      <c r="AG6" s="72">
        <v>0</v>
      </c>
      <c r="AH6" s="72">
        <f t="shared" si="1"/>
        <v>15031880.440000001</v>
      </c>
      <c r="AI6" s="72">
        <f t="shared" si="2"/>
        <v>11835128.440000001</v>
      </c>
      <c r="AJ6" s="72"/>
      <c r="AK6" s="60">
        <f t="shared" si="3"/>
        <v>9989850</v>
      </c>
      <c r="AL6" s="60">
        <f t="shared" si="4"/>
        <v>46619.3</v>
      </c>
      <c r="AM6" s="60">
        <f t="shared" si="5"/>
        <v>2360940</v>
      </c>
      <c r="AN6" s="60">
        <f t="shared" si="6"/>
        <v>4641765</v>
      </c>
      <c r="AO6" s="60">
        <f t="shared" si="7"/>
        <v>0</v>
      </c>
      <c r="AP6" s="60">
        <f t="shared" si="8"/>
        <v>0</v>
      </c>
      <c r="AQ6" s="60">
        <f t="shared" si="9"/>
        <v>0</v>
      </c>
      <c r="AR6" s="60">
        <f t="shared" si="10"/>
        <v>0</v>
      </c>
      <c r="AS6" s="60">
        <f t="shared" si="11"/>
        <v>0</v>
      </c>
      <c r="AT6" s="130">
        <f t="shared" si="12"/>
        <v>17039174.300000001</v>
      </c>
    </row>
    <row r="7" spans="1:46" ht="60.75" customHeight="1">
      <c r="A7" s="100" t="s">
        <v>44</v>
      </c>
      <c r="B7" t="str">
        <f>+Inicio!E16</f>
        <v xml:space="preserve">Si </v>
      </c>
      <c r="C7" s="1">
        <f>+Inicio!H16</f>
        <v>1500000000</v>
      </c>
      <c r="D7" s="71">
        <f>+Inicio!E23</f>
        <v>0.03</v>
      </c>
      <c r="E7" s="1">
        <f t="shared" si="0"/>
        <v>45000000</v>
      </c>
      <c r="N7">
        <f t="shared" si="13"/>
        <v>55</v>
      </c>
      <c r="O7" s="1">
        <f t="shared" si="22"/>
        <v>1680000000</v>
      </c>
      <c r="P7" s="1">
        <f t="shared" si="14"/>
        <v>7840000</v>
      </c>
      <c r="Q7" s="1">
        <f t="shared" si="15"/>
        <v>1680000000</v>
      </c>
      <c r="R7" s="1">
        <f t="shared" si="16"/>
        <v>1680000000</v>
      </c>
      <c r="S7" s="1">
        <f t="shared" si="17"/>
        <v>0</v>
      </c>
      <c r="T7" s="1">
        <f t="shared" si="18"/>
        <v>0</v>
      </c>
      <c r="U7" s="1">
        <f t="shared" si="19"/>
        <v>0</v>
      </c>
      <c r="V7" s="1">
        <f t="shared" si="20"/>
        <v>0</v>
      </c>
      <c r="W7" s="1">
        <f t="shared" si="21"/>
        <v>0</v>
      </c>
      <c r="X7" s="72">
        <f>IF($B$1="M",(VLOOKUP(N7,Tasas!$A$3:$C$65,2)*O7),(VLOOKUP(N7,Tasas!$A$3:$C$65,3)*O7))</f>
        <v>9040080</v>
      </c>
      <c r="Y7" s="60">
        <f>IF($B$1="M",(VLOOKUP(N7,Tasas!$A$3:$C$65,2)*P7),(VLOOKUP(N7,Tasas!$A$3:$C$65,3)*P7))</f>
        <v>42187.040000000001</v>
      </c>
      <c r="Z7" s="72">
        <f>IF($B$1="M",(VLOOKUP(N7,Tasas!$M$3:$O$55,2)*Q7),(VLOOKUP(N7,Tasas!$M$3:$O$55,3)*Q7))</f>
        <v>2669520</v>
      </c>
      <c r="AA7" s="72">
        <f>IF($B$1="M",(VLOOKUP(N7,Tasas!$E$3:$G$55,2)*R7),(VLOOKUP(N7,Tasas!$E$3:$G$55,3)*R7))</f>
        <v>5300400</v>
      </c>
      <c r="AB7" s="72">
        <f>IF($B$1="M",(VLOOKUP(N7,Tasas!$I$3:$K$55,2)*S7),(VLOOKUP(N7,Tasas!$I$3:$K$55,3)*S7))</f>
        <v>0</v>
      </c>
      <c r="AC7" s="72">
        <f>+T7*Tasas!$R$2</f>
        <v>0</v>
      </c>
      <c r="AD7" s="72">
        <f>U7*Tasas!$R$3</f>
        <v>0</v>
      </c>
      <c r="AE7" s="72">
        <f>+V7*Tasas!$R$4</f>
        <v>0</v>
      </c>
      <c r="AF7" s="72">
        <f>+W7*Tasas!$R$5</f>
        <v>0</v>
      </c>
      <c r="AG7" s="72">
        <v>0</v>
      </c>
      <c r="AH7" s="72">
        <f t="shared" si="1"/>
        <v>17052187.039999999</v>
      </c>
      <c r="AI7" s="72">
        <f t="shared" si="2"/>
        <v>13436155.039999999</v>
      </c>
      <c r="AJ7" s="72"/>
      <c r="AK7" s="60">
        <f t="shared" si="3"/>
        <v>11300100</v>
      </c>
      <c r="AL7" s="60">
        <f t="shared" si="4"/>
        <v>52733.8</v>
      </c>
      <c r="AM7" s="60">
        <f t="shared" si="5"/>
        <v>2669520</v>
      </c>
      <c r="AN7" s="60">
        <f t="shared" si="6"/>
        <v>5300400</v>
      </c>
      <c r="AO7" s="60">
        <f t="shared" si="7"/>
        <v>0</v>
      </c>
      <c r="AP7" s="60">
        <f t="shared" si="8"/>
        <v>0</v>
      </c>
      <c r="AQ7" s="60">
        <f t="shared" si="9"/>
        <v>0</v>
      </c>
      <c r="AR7" s="60">
        <f t="shared" si="10"/>
        <v>0</v>
      </c>
      <c r="AS7" s="60">
        <f t="shared" si="11"/>
        <v>0</v>
      </c>
      <c r="AT7" s="130">
        <f t="shared" si="12"/>
        <v>19322753.800000001</v>
      </c>
    </row>
    <row r="8" spans="1:46" ht="15.75">
      <c r="A8" s="97" t="s">
        <v>45</v>
      </c>
      <c r="B8">
        <f>+Inicio!E17</f>
        <v>0</v>
      </c>
      <c r="C8" s="1">
        <f>+Inicio!H17</f>
        <v>0</v>
      </c>
      <c r="D8" s="71">
        <f>+Inicio!E23</f>
        <v>0.03</v>
      </c>
      <c r="E8" s="1">
        <f t="shared" si="0"/>
        <v>0</v>
      </c>
      <c r="N8">
        <f t="shared" si="13"/>
        <v>56</v>
      </c>
      <c r="O8" s="1">
        <f t="shared" si="22"/>
        <v>1725000000</v>
      </c>
      <c r="P8" s="1">
        <f t="shared" si="14"/>
        <v>8050000</v>
      </c>
      <c r="Q8" s="1">
        <f t="shared" si="15"/>
        <v>1725000000</v>
      </c>
      <c r="R8" s="1">
        <f t="shared" si="16"/>
        <v>1725000000</v>
      </c>
      <c r="S8" s="1">
        <f t="shared" si="17"/>
        <v>0</v>
      </c>
      <c r="T8" s="1">
        <f t="shared" si="18"/>
        <v>0</v>
      </c>
      <c r="U8" s="1">
        <f t="shared" si="19"/>
        <v>0</v>
      </c>
      <c r="V8" s="1">
        <f t="shared" si="20"/>
        <v>0</v>
      </c>
      <c r="W8" s="1">
        <f t="shared" si="21"/>
        <v>0</v>
      </c>
      <c r="X8" s="72">
        <f>IF($B$1="M",(VLOOKUP(N8,Tasas!$A$3:$C$65,2)*O8),(VLOOKUP(N8,Tasas!$A$3:$C$65,3)*O8))</f>
        <v>10343100</v>
      </c>
      <c r="Y8" s="60">
        <f>IF($B$1="M",(VLOOKUP(N8,Tasas!$A$3:$C$65,2)*P8),(VLOOKUP(N8,Tasas!$A$3:$C$65,3)*P8))</f>
        <v>48267.8</v>
      </c>
      <c r="Z8" s="72">
        <f>IF($B$1="M",(VLOOKUP(N8,Tasas!$M$3:$O$55,2)*Q8),(VLOOKUP(N8,Tasas!$M$3:$O$55,3)*Q8))</f>
        <v>3054975</v>
      </c>
      <c r="AA8" s="72">
        <f>IF($B$1="M",(VLOOKUP(N8,Tasas!$E$3:$G$55,2)*R8),(VLOOKUP(N8,Tasas!$E$3:$G$55,3)*R8))</f>
        <v>5442375</v>
      </c>
      <c r="AB8" s="72">
        <f>IF($B$1="M",(VLOOKUP(N8,Tasas!$I$3:$K$55,2)*S8),(VLOOKUP(N8,Tasas!$I$3:$K$55,3)*S8))</f>
        <v>0</v>
      </c>
      <c r="AC8" s="72">
        <f>+T8*Tasas!$R$2</f>
        <v>0</v>
      </c>
      <c r="AD8" s="72">
        <f>U8*Tasas!$R$3</f>
        <v>0</v>
      </c>
      <c r="AE8" s="72">
        <f>+V8*Tasas!$R$4</f>
        <v>0</v>
      </c>
      <c r="AF8" s="72">
        <f>+W8*Tasas!$R$5</f>
        <v>0</v>
      </c>
      <c r="AG8" s="72">
        <v>0</v>
      </c>
      <c r="AH8" s="72">
        <f t="shared" si="1"/>
        <v>18888717.800000001</v>
      </c>
      <c r="AI8" s="72">
        <f t="shared" si="2"/>
        <v>14751477.800000001</v>
      </c>
      <c r="AJ8" s="72"/>
      <c r="AK8" s="60">
        <f t="shared" si="3"/>
        <v>12928875</v>
      </c>
      <c r="AL8" s="60">
        <f t="shared" si="4"/>
        <v>60334.75</v>
      </c>
      <c r="AM8" s="60">
        <f t="shared" si="5"/>
        <v>3054975</v>
      </c>
      <c r="AN8" s="60">
        <f t="shared" si="6"/>
        <v>5442375</v>
      </c>
      <c r="AO8" s="60">
        <f t="shared" si="7"/>
        <v>0</v>
      </c>
      <c r="AP8" s="60">
        <f t="shared" si="8"/>
        <v>0</v>
      </c>
      <c r="AQ8" s="60">
        <f t="shared" si="9"/>
        <v>0</v>
      </c>
      <c r="AR8" s="60">
        <f t="shared" si="10"/>
        <v>0</v>
      </c>
      <c r="AS8" s="60">
        <f t="shared" si="11"/>
        <v>0</v>
      </c>
      <c r="AT8" s="130">
        <f t="shared" si="12"/>
        <v>21486559.75</v>
      </c>
    </row>
    <row r="9" spans="1:46" ht="111.75" customHeight="1">
      <c r="A9" s="100" t="s">
        <v>46</v>
      </c>
      <c r="B9">
        <f>+Inicio!E18</f>
        <v>0</v>
      </c>
      <c r="C9" s="1">
        <f>+Inicio!H18</f>
        <v>0</v>
      </c>
      <c r="D9" s="71">
        <f>+Inicio!E23</f>
        <v>0.03</v>
      </c>
      <c r="E9" s="1">
        <f t="shared" si="0"/>
        <v>0</v>
      </c>
      <c r="N9">
        <f t="shared" si="13"/>
        <v>57</v>
      </c>
      <c r="O9" s="1">
        <f t="shared" si="22"/>
        <v>1770000000</v>
      </c>
      <c r="P9" s="1">
        <f t="shared" si="14"/>
        <v>8260000</v>
      </c>
      <c r="Q9" s="1">
        <f t="shared" si="15"/>
        <v>1770000000</v>
      </c>
      <c r="R9" s="1">
        <f t="shared" si="16"/>
        <v>1770000000</v>
      </c>
      <c r="S9" s="1">
        <f t="shared" si="17"/>
        <v>0</v>
      </c>
      <c r="T9" s="1">
        <f t="shared" si="18"/>
        <v>0</v>
      </c>
      <c r="U9" s="1">
        <f t="shared" si="19"/>
        <v>0</v>
      </c>
      <c r="V9" s="1">
        <f t="shared" si="20"/>
        <v>0</v>
      </c>
      <c r="W9" s="1">
        <f t="shared" si="21"/>
        <v>0</v>
      </c>
      <c r="X9" s="72">
        <f>IF($B$1="M",(VLOOKUP(N9,Tasas!$A$3:$C$65,2)*O9),(VLOOKUP(N9,Tasas!$A$3:$C$65,3)*O9))</f>
        <v>11901480</v>
      </c>
      <c r="Y9" s="60">
        <f>IF($B$1="M",(VLOOKUP(N9,Tasas!$A$3:$C$65,2)*P9),(VLOOKUP(N9,Tasas!$A$3:$C$65,3)*P9))</f>
        <v>55540.24</v>
      </c>
      <c r="Z9" s="72">
        <f>IF($B$1="M",(VLOOKUP(N9,Tasas!$M$3:$O$55,2)*Q9),(VLOOKUP(N9,Tasas!$M$3:$O$55,3)*Q9))</f>
        <v>3515220</v>
      </c>
      <c r="AA9" s="72">
        <f>IF($B$1="M",(VLOOKUP(N9,Tasas!$E$3:$G$55,2)*R9),(VLOOKUP(N9,Tasas!$E$3:$G$55,3)*R9))</f>
        <v>5584350</v>
      </c>
      <c r="AB9" s="72">
        <f>IF($B$1="M",(VLOOKUP(N9,Tasas!$I$3:$K$55,2)*S9),(VLOOKUP(N9,Tasas!$I$3:$K$55,3)*S9))</f>
        <v>0</v>
      </c>
      <c r="AC9" s="72">
        <f>+T9*Tasas!$R$2</f>
        <v>0</v>
      </c>
      <c r="AD9" s="72">
        <f>U9*Tasas!$R$3</f>
        <v>0</v>
      </c>
      <c r="AE9" s="72">
        <f>+V9*Tasas!$R$4</f>
        <v>0</v>
      </c>
      <c r="AF9" s="72">
        <f>+W9*Tasas!$R$5</f>
        <v>0</v>
      </c>
      <c r="AG9" s="72">
        <v>0</v>
      </c>
      <c r="AH9" s="72">
        <f t="shared" si="1"/>
        <v>21056590.240000002</v>
      </c>
      <c r="AI9" s="72">
        <f t="shared" si="2"/>
        <v>16295998.240000002</v>
      </c>
      <c r="AJ9" s="72"/>
      <c r="AK9" s="60">
        <f t="shared" si="3"/>
        <v>14876850</v>
      </c>
      <c r="AL9" s="60">
        <f t="shared" si="4"/>
        <v>69425.3</v>
      </c>
      <c r="AM9" s="60">
        <f t="shared" si="5"/>
        <v>3515220</v>
      </c>
      <c r="AN9" s="60">
        <f t="shared" si="6"/>
        <v>5584350</v>
      </c>
      <c r="AO9" s="60">
        <f t="shared" si="7"/>
        <v>0</v>
      </c>
      <c r="AP9" s="60">
        <f t="shared" si="8"/>
        <v>0</v>
      </c>
      <c r="AQ9" s="60">
        <f t="shared" si="9"/>
        <v>0</v>
      </c>
      <c r="AR9" s="60">
        <f t="shared" si="10"/>
        <v>0</v>
      </c>
      <c r="AS9" s="60">
        <f t="shared" si="11"/>
        <v>0</v>
      </c>
      <c r="AT9" s="130">
        <f t="shared" si="12"/>
        <v>24045845.300000001</v>
      </c>
    </row>
    <row r="10" spans="1:46" ht="15.75">
      <c r="A10" s="97" t="s">
        <v>56</v>
      </c>
      <c r="B10">
        <f>+Inicio!E19</f>
        <v>0</v>
      </c>
      <c r="C10" s="1">
        <f>IF(Inicio!E19=Inicio!N1,1,0)</f>
        <v>0</v>
      </c>
      <c r="D10" s="71"/>
      <c r="E10">
        <v>0</v>
      </c>
      <c r="N10">
        <f t="shared" si="13"/>
        <v>58</v>
      </c>
      <c r="O10" s="1">
        <f t="shared" si="22"/>
        <v>1815000000</v>
      </c>
      <c r="P10" s="1">
        <f t="shared" si="14"/>
        <v>8470000</v>
      </c>
      <c r="Q10" s="1">
        <f t="shared" si="15"/>
        <v>1815000000</v>
      </c>
      <c r="R10" s="1">
        <f t="shared" si="16"/>
        <v>1815000000</v>
      </c>
      <c r="S10" s="1">
        <f t="shared" si="17"/>
        <v>0</v>
      </c>
      <c r="T10" s="1">
        <f t="shared" si="18"/>
        <v>0</v>
      </c>
      <c r="U10" s="1">
        <f t="shared" si="19"/>
        <v>0</v>
      </c>
      <c r="V10" s="1">
        <f t="shared" si="20"/>
        <v>0</v>
      </c>
      <c r="W10" s="1">
        <f t="shared" si="21"/>
        <v>0</v>
      </c>
      <c r="X10" s="72">
        <f>IF($B$1="M",(VLOOKUP(N10,Tasas!$A$3:$C$65,2)*O10),(VLOOKUP(N10,Tasas!$A$3:$C$65,3)*O10))</f>
        <v>13757700</v>
      </c>
      <c r="Y10" s="60">
        <f>IF($B$1="M",(VLOOKUP(N10,Tasas!$A$3:$C$65,2)*P10),(VLOOKUP(N10,Tasas!$A$3:$C$65,3)*P10))</f>
        <v>64202.6</v>
      </c>
      <c r="Z10" s="72">
        <f>IF($B$1="M",(VLOOKUP(N10,Tasas!$M$3:$O$55,2)*Q10),(VLOOKUP(N10,Tasas!$M$3:$O$55,3)*Q10))</f>
        <v>4063785</v>
      </c>
      <c r="AA10" s="72">
        <f>IF($B$1="M",(VLOOKUP(N10,Tasas!$E$3:$G$55,2)*R10),(VLOOKUP(N10,Tasas!$E$3:$G$55,3)*R10))</f>
        <v>6298050</v>
      </c>
      <c r="AB10" s="72">
        <f>IF($B$1="M",(VLOOKUP(N10,Tasas!$I$3:$K$55,2)*S10),(VLOOKUP(N10,Tasas!$I$3:$K$55,3)*S10))</f>
        <v>0</v>
      </c>
      <c r="AC10" s="72">
        <f>+T10*Tasas!$R$2</f>
        <v>0</v>
      </c>
      <c r="AD10" s="72">
        <f>U10*Tasas!$R$3</f>
        <v>0</v>
      </c>
      <c r="AE10" s="72">
        <f>+V10*Tasas!$R$4</f>
        <v>0</v>
      </c>
      <c r="AF10" s="72">
        <f>+W10*Tasas!$R$5</f>
        <v>0</v>
      </c>
      <c r="AG10" s="72">
        <v>0</v>
      </c>
      <c r="AH10" s="72">
        <f t="shared" si="1"/>
        <v>24183737.600000001</v>
      </c>
      <c r="AI10" s="72">
        <f t="shared" si="2"/>
        <v>18680657.600000001</v>
      </c>
      <c r="AJ10" s="72"/>
      <c r="AK10" s="60">
        <f t="shared" si="3"/>
        <v>17197125</v>
      </c>
      <c r="AL10" s="60">
        <f t="shared" si="4"/>
        <v>80253.25</v>
      </c>
      <c r="AM10" s="60">
        <f t="shared" si="5"/>
        <v>4063785</v>
      </c>
      <c r="AN10" s="60">
        <f t="shared" si="6"/>
        <v>6298050</v>
      </c>
      <c r="AO10" s="60">
        <f t="shared" si="7"/>
        <v>0</v>
      </c>
      <c r="AP10" s="60">
        <f t="shared" si="8"/>
        <v>0</v>
      </c>
      <c r="AQ10" s="60">
        <f t="shared" si="9"/>
        <v>0</v>
      </c>
      <c r="AR10" s="60">
        <f t="shared" si="10"/>
        <v>0</v>
      </c>
      <c r="AS10" s="60">
        <f t="shared" si="11"/>
        <v>0</v>
      </c>
      <c r="AT10" s="130">
        <f t="shared" si="12"/>
        <v>27639213.25</v>
      </c>
    </row>
    <row r="11" spans="1:46" ht="15.75">
      <c r="A11" s="97" t="s">
        <v>57</v>
      </c>
      <c r="B11">
        <f>+Inicio!E20</f>
        <v>0</v>
      </c>
      <c r="C11" s="1">
        <f>IF(Inicio!E20=Inicio!N1,1,0)</f>
        <v>0</v>
      </c>
      <c r="E11">
        <v>0</v>
      </c>
      <c r="N11">
        <f t="shared" si="13"/>
        <v>59</v>
      </c>
      <c r="O11" s="1">
        <f t="shared" si="22"/>
        <v>1860000000</v>
      </c>
      <c r="P11" s="1">
        <f t="shared" si="14"/>
        <v>8680000</v>
      </c>
      <c r="Q11" s="1">
        <f t="shared" si="15"/>
        <v>1860000000</v>
      </c>
      <c r="R11" s="1">
        <f t="shared" si="16"/>
        <v>1860000000</v>
      </c>
      <c r="S11" s="1">
        <f t="shared" si="17"/>
        <v>0</v>
      </c>
      <c r="T11" s="1">
        <f t="shared" si="18"/>
        <v>0</v>
      </c>
      <c r="U11" s="1">
        <f t="shared" si="19"/>
        <v>0</v>
      </c>
      <c r="V11" s="1">
        <f t="shared" si="20"/>
        <v>0</v>
      </c>
      <c r="W11" s="1">
        <f t="shared" si="21"/>
        <v>0</v>
      </c>
      <c r="X11" s="72">
        <f>IF($B$1="M",(VLOOKUP(N11,Tasas!$A$3:$C$65,2)*O11),(VLOOKUP(N11,Tasas!$A$3:$C$65,3)*O11))</f>
        <v>15914159.999999998</v>
      </c>
      <c r="Y11" s="60">
        <f>IF($B$1="M",(VLOOKUP(N11,Tasas!$A$3:$C$65,2)*P11),(VLOOKUP(N11,Tasas!$A$3:$C$65,3)*P11))</f>
        <v>74266.080000000002</v>
      </c>
      <c r="Z11" s="72">
        <f>IF($B$1="M",(VLOOKUP(N11,Tasas!$M$3:$O$55,2)*Q11),(VLOOKUP(N11,Tasas!$M$3:$O$55,3)*Q11))</f>
        <v>4700220</v>
      </c>
      <c r="AA11" s="72">
        <f>IF($B$1="M",(VLOOKUP(N11,Tasas!$E$3:$G$55,2)*R11),(VLOOKUP(N11,Tasas!$E$3:$G$55,3)*R11))</f>
        <v>6454200</v>
      </c>
      <c r="AB11" s="72">
        <f>IF($B$1="M",(VLOOKUP(N11,Tasas!$I$3:$K$55,2)*S11),(VLOOKUP(N11,Tasas!$I$3:$K$55,3)*S11))</f>
        <v>0</v>
      </c>
      <c r="AC11" s="72">
        <f>+T11*Tasas!$R$2</f>
        <v>0</v>
      </c>
      <c r="AD11" s="72">
        <f>U11*Tasas!$R$3</f>
        <v>0</v>
      </c>
      <c r="AE11" s="72">
        <f>+V11*Tasas!$R$4</f>
        <v>0</v>
      </c>
      <c r="AF11" s="72">
        <f>+W11*Tasas!$R$5</f>
        <v>0</v>
      </c>
      <c r="AG11" s="72">
        <v>0</v>
      </c>
      <c r="AH11" s="72">
        <f t="shared" si="1"/>
        <v>27142846.079999998</v>
      </c>
      <c r="AI11" s="72">
        <f t="shared" si="2"/>
        <v>20777182.079999998</v>
      </c>
      <c r="AJ11" s="72"/>
      <c r="AK11" s="60">
        <f t="shared" si="3"/>
        <v>19892699.999999996</v>
      </c>
      <c r="AL11" s="60">
        <f t="shared" si="4"/>
        <v>92832.6</v>
      </c>
      <c r="AM11" s="60">
        <f t="shared" si="5"/>
        <v>4700220</v>
      </c>
      <c r="AN11" s="60">
        <f t="shared" si="6"/>
        <v>6454200</v>
      </c>
      <c r="AO11" s="60">
        <f t="shared" si="7"/>
        <v>0</v>
      </c>
      <c r="AP11" s="60">
        <f t="shared" si="8"/>
        <v>0</v>
      </c>
      <c r="AQ11" s="60">
        <f t="shared" si="9"/>
        <v>0</v>
      </c>
      <c r="AR11" s="60">
        <f t="shared" si="10"/>
        <v>0</v>
      </c>
      <c r="AS11" s="60">
        <f t="shared" si="11"/>
        <v>0</v>
      </c>
      <c r="AT11" s="130">
        <f t="shared" si="12"/>
        <v>31139952.599999998</v>
      </c>
    </row>
    <row r="12" spans="1:46" ht="15.75">
      <c r="A12" s="97" t="s">
        <v>58</v>
      </c>
      <c r="B12">
        <f>+Inicio!E21</f>
        <v>0</v>
      </c>
      <c r="C12" s="1">
        <f>IF(Inicio!E21=Inicio!N1,1,0)</f>
        <v>0</v>
      </c>
      <c r="E12">
        <v>0</v>
      </c>
      <c r="N12">
        <f t="shared" si="13"/>
        <v>60</v>
      </c>
      <c r="O12" s="1">
        <f t="shared" si="22"/>
        <v>1905000000</v>
      </c>
      <c r="P12" s="1">
        <f t="shared" si="14"/>
        <v>8890000</v>
      </c>
      <c r="Q12" s="1">
        <f t="shared" si="15"/>
        <v>1905000000</v>
      </c>
      <c r="R12" s="1">
        <f t="shared" si="16"/>
        <v>1905000000</v>
      </c>
      <c r="S12" s="1">
        <f t="shared" si="17"/>
        <v>0</v>
      </c>
      <c r="T12" s="1">
        <f t="shared" si="18"/>
        <v>0</v>
      </c>
      <c r="U12" s="1">
        <f t="shared" si="19"/>
        <v>0</v>
      </c>
      <c r="V12" s="1">
        <f t="shared" si="20"/>
        <v>0</v>
      </c>
      <c r="W12" s="1">
        <f t="shared" si="21"/>
        <v>0</v>
      </c>
      <c r="X12" s="72">
        <f>IF($B$1="M",(VLOOKUP(N12,Tasas!$A$3:$C$65,2)*O12),(VLOOKUP(N12,Tasas!$A$3:$C$65,3)*O12))</f>
        <v>18324195</v>
      </c>
      <c r="Y12" s="60">
        <f>IF($B$1="M",(VLOOKUP(N12,Tasas!$A$3:$C$65,2)*P12),(VLOOKUP(N12,Tasas!$A$3:$C$65,3)*P12))</f>
        <v>85512.909999999989</v>
      </c>
      <c r="Z12" s="72">
        <f>IF($B$1="M",(VLOOKUP(N12,Tasas!$M$3:$O$55,2)*Q12),(VLOOKUP(N12,Tasas!$M$3:$O$55,3)*Q12))</f>
        <v>5412105</v>
      </c>
      <c r="AA12" s="72">
        <f>IF($B$1="M",(VLOOKUP(N12,Tasas!$E$3:$G$55,2)*R12),(VLOOKUP(N12,Tasas!$E$3:$G$55,3)*R12))</f>
        <v>7212330.0000000009</v>
      </c>
      <c r="AB12" s="72">
        <f>IF($B$1="M",(VLOOKUP(N12,Tasas!$I$3:$K$55,2)*S12),(VLOOKUP(N12,Tasas!$I$3:$K$55,3)*S12))</f>
        <v>0</v>
      </c>
      <c r="AC12" s="72">
        <f>+T12*Tasas!$R$2</f>
        <v>0</v>
      </c>
      <c r="AD12" s="72">
        <f>U12*Tasas!$R$3</f>
        <v>0</v>
      </c>
      <c r="AE12" s="72">
        <f>+V12*Tasas!$R$4</f>
        <v>0</v>
      </c>
      <c r="AF12" s="72">
        <f>+W12*Tasas!$R$5</f>
        <v>0</v>
      </c>
      <c r="AG12" s="72">
        <v>0</v>
      </c>
      <c r="AH12" s="72">
        <f t="shared" si="1"/>
        <v>31034142.91</v>
      </c>
      <c r="AI12" s="72">
        <f t="shared" si="2"/>
        <v>23704464.91</v>
      </c>
      <c r="AJ12" s="72"/>
      <c r="AK12" s="60">
        <f t="shared" si="3"/>
        <v>22905243.75</v>
      </c>
      <c r="AL12" s="60">
        <f t="shared" si="4"/>
        <v>106891.13749999998</v>
      </c>
      <c r="AM12" s="60">
        <f t="shared" si="5"/>
        <v>5412105</v>
      </c>
      <c r="AN12" s="60">
        <f t="shared" si="6"/>
        <v>7212330.0000000009</v>
      </c>
      <c r="AO12" s="60">
        <f t="shared" si="7"/>
        <v>0</v>
      </c>
      <c r="AP12" s="60">
        <f t="shared" si="8"/>
        <v>0</v>
      </c>
      <c r="AQ12" s="60">
        <f t="shared" si="9"/>
        <v>0</v>
      </c>
      <c r="AR12" s="60">
        <f t="shared" si="10"/>
        <v>0</v>
      </c>
      <c r="AS12" s="60">
        <f t="shared" si="11"/>
        <v>0</v>
      </c>
      <c r="AT12" s="130">
        <f t="shared" si="12"/>
        <v>35636569.887500003</v>
      </c>
    </row>
    <row r="13" spans="1:46">
      <c r="N13">
        <f t="shared" si="13"/>
        <v>61</v>
      </c>
      <c r="O13" s="1">
        <f t="shared" si="22"/>
        <v>1950000000</v>
      </c>
      <c r="P13" s="1">
        <f t="shared" si="14"/>
        <v>9100000</v>
      </c>
      <c r="Q13" s="1">
        <f t="shared" si="15"/>
        <v>1950000000</v>
      </c>
      <c r="R13" s="1">
        <f t="shared" si="16"/>
        <v>1950000000</v>
      </c>
      <c r="S13" s="1">
        <f t="shared" si="17"/>
        <v>0</v>
      </c>
      <c r="T13" s="1">
        <f t="shared" si="18"/>
        <v>0</v>
      </c>
      <c r="U13" s="1">
        <f t="shared" si="19"/>
        <v>0</v>
      </c>
      <c r="V13" s="1">
        <f t="shared" si="20"/>
        <v>0</v>
      </c>
      <c r="W13" s="1">
        <f t="shared" si="21"/>
        <v>0</v>
      </c>
      <c r="X13" s="72">
        <f>IF($B$1="M",(VLOOKUP(N13,Tasas!$A$3:$C$65,2)*O13),(VLOOKUP(N13,Tasas!$A$3:$C$65,3)*O13))</f>
        <v>20980050</v>
      </c>
      <c r="Y13" s="60">
        <f>IF($B$1="M",(VLOOKUP(N13,Tasas!$A$3:$C$65,2)*P13),(VLOOKUP(N13,Tasas!$A$3:$C$65,3)*P13))</f>
        <v>97906.9</v>
      </c>
      <c r="Z13" s="72">
        <f>IF($B$1="M",(VLOOKUP(N13,Tasas!$M$3:$O$55,2)*Q13),(VLOOKUP(N13,Tasas!$M$3:$O$55,3)*Q13))</f>
        <v>6195150</v>
      </c>
      <c r="AA13" s="72">
        <f>IF($B$1="M",(VLOOKUP(N13,Tasas!$E$3:$G$55,2)*R13),(VLOOKUP(N13,Tasas!$E$3:$G$55,3)*R13))</f>
        <v>7996950.0000000009</v>
      </c>
      <c r="AB13" s="72">
        <f>IF($B$1="M",(VLOOKUP(N13,Tasas!$I$3:$K$55,2)*S13),(VLOOKUP(N13,Tasas!$I$3:$K$55,3)*S13))</f>
        <v>0</v>
      </c>
      <c r="AC13" s="72">
        <f>+T13*Tasas!$R$2</f>
        <v>0</v>
      </c>
      <c r="AD13" s="72">
        <f>U13*Tasas!$R$3</f>
        <v>0</v>
      </c>
      <c r="AE13" s="72">
        <f>+V13*Tasas!$R$4</f>
        <v>0</v>
      </c>
      <c r="AF13" s="72">
        <f>+W13*Tasas!$R$5</f>
        <v>0</v>
      </c>
      <c r="AG13" s="72">
        <v>0</v>
      </c>
      <c r="AH13" s="72">
        <f t="shared" si="1"/>
        <v>35270056.899999999</v>
      </c>
      <c r="AI13" s="72">
        <f t="shared" si="2"/>
        <v>26878036.899999999</v>
      </c>
      <c r="AJ13" s="72"/>
      <c r="AK13" s="60">
        <f t="shared" si="3"/>
        <v>26225062.5</v>
      </c>
      <c r="AL13" s="60">
        <f t="shared" si="4"/>
        <v>122383.625</v>
      </c>
      <c r="AM13" s="60">
        <f t="shared" si="5"/>
        <v>6195150</v>
      </c>
      <c r="AN13" s="60">
        <f t="shared" si="6"/>
        <v>7996950.0000000009</v>
      </c>
      <c r="AO13" s="60">
        <f t="shared" si="7"/>
        <v>0</v>
      </c>
      <c r="AP13" s="60">
        <f t="shared" si="8"/>
        <v>0</v>
      </c>
      <c r="AQ13" s="60">
        <f t="shared" si="9"/>
        <v>0</v>
      </c>
      <c r="AR13" s="60">
        <f t="shared" si="10"/>
        <v>0</v>
      </c>
      <c r="AS13" s="60">
        <f t="shared" si="11"/>
        <v>0</v>
      </c>
      <c r="AT13" s="130">
        <f t="shared" si="12"/>
        <v>40539546.125</v>
      </c>
    </row>
    <row r="14" spans="1:46">
      <c r="N14">
        <f t="shared" si="13"/>
        <v>62</v>
      </c>
      <c r="O14" s="1">
        <f t="shared" si="22"/>
        <v>1995000000</v>
      </c>
      <c r="P14" s="1">
        <f t="shared" si="14"/>
        <v>9310000</v>
      </c>
      <c r="Q14" s="1">
        <f t="shared" si="15"/>
        <v>1995000000</v>
      </c>
      <c r="R14" s="1">
        <f t="shared" si="16"/>
        <v>1995000000</v>
      </c>
      <c r="S14" s="1">
        <f t="shared" si="17"/>
        <v>0</v>
      </c>
      <c r="T14" s="1">
        <f t="shared" si="18"/>
        <v>0</v>
      </c>
      <c r="U14" s="1">
        <f t="shared" si="19"/>
        <v>0</v>
      </c>
      <c r="V14" s="1">
        <f t="shared" si="20"/>
        <v>0</v>
      </c>
      <c r="W14" s="1">
        <f t="shared" si="21"/>
        <v>0</v>
      </c>
      <c r="X14" s="72">
        <f>IF($B$1="M",(VLOOKUP(N14,Tasas!$A$3:$C$65,2)*O14),(VLOOKUP(N14,Tasas!$A$3:$C$65,3)*O14))</f>
        <v>23796360</v>
      </c>
      <c r="Y14" s="60">
        <f>IF($B$1="M",(VLOOKUP(N14,Tasas!$A$3:$C$65,2)*P14),(VLOOKUP(N14,Tasas!$A$3:$C$65,3)*P14))</f>
        <v>111049.68</v>
      </c>
      <c r="Z14" s="72">
        <f>IF($B$1="M",(VLOOKUP(N14,Tasas!$M$3:$O$55,2)*Q14),(VLOOKUP(N14,Tasas!$M$3:$O$55,3)*Q14))</f>
        <v>7028385</v>
      </c>
      <c r="AA14" s="72">
        <f>IF($B$1="M",(VLOOKUP(N14,Tasas!$E$3:$G$55,2)*R14),(VLOOKUP(N14,Tasas!$E$3:$G$55,3)*R14))</f>
        <v>8811915</v>
      </c>
      <c r="AB14" s="72">
        <f>IF($B$1="M",(VLOOKUP(N14,Tasas!$I$3:$K$55,2)*S14),(VLOOKUP(N14,Tasas!$I$3:$K$55,3)*S14))</f>
        <v>0</v>
      </c>
      <c r="AC14" s="72">
        <f>+T14*Tasas!$R$2</f>
        <v>0</v>
      </c>
      <c r="AD14" s="72">
        <f>U14*Tasas!$R$3</f>
        <v>0</v>
      </c>
      <c r="AE14" s="72">
        <f>+V14*Tasas!$R$4</f>
        <v>0</v>
      </c>
      <c r="AF14" s="72">
        <f>+W14*Tasas!$R$5</f>
        <v>0</v>
      </c>
      <c r="AG14" s="72">
        <v>0</v>
      </c>
      <c r="AH14" s="72">
        <f t="shared" si="1"/>
        <v>39747709.68</v>
      </c>
      <c r="AI14" s="72">
        <f t="shared" si="2"/>
        <v>30229165.68</v>
      </c>
      <c r="AJ14" s="72"/>
      <c r="AK14" s="60">
        <f t="shared" si="3"/>
        <v>29745450</v>
      </c>
      <c r="AL14" s="60">
        <f t="shared" si="4"/>
        <v>138812.09999999998</v>
      </c>
      <c r="AM14" s="60">
        <f t="shared" si="5"/>
        <v>7028385</v>
      </c>
      <c r="AN14" s="60">
        <f t="shared" si="6"/>
        <v>8811915</v>
      </c>
      <c r="AO14" s="60">
        <f t="shared" si="7"/>
        <v>0</v>
      </c>
      <c r="AP14" s="60">
        <f t="shared" si="8"/>
        <v>0</v>
      </c>
      <c r="AQ14" s="60">
        <f t="shared" si="9"/>
        <v>0</v>
      </c>
      <c r="AR14" s="60">
        <f t="shared" si="10"/>
        <v>0</v>
      </c>
      <c r="AS14" s="60">
        <f t="shared" si="11"/>
        <v>0</v>
      </c>
      <c r="AT14" s="130">
        <f t="shared" si="12"/>
        <v>45724562.100000001</v>
      </c>
    </row>
    <row r="15" spans="1:46">
      <c r="N15">
        <f t="shared" si="13"/>
        <v>63</v>
      </c>
      <c r="O15" s="1">
        <f t="shared" si="22"/>
        <v>2040000000</v>
      </c>
      <c r="P15" s="1">
        <f t="shared" si="14"/>
        <v>9520000</v>
      </c>
      <c r="Q15" s="1">
        <f t="shared" si="15"/>
        <v>2040000000</v>
      </c>
      <c r="R15" s="1">
        <f t="shared" si="16"/>
        <v>2040000000</v>
      </c>
      <c r="S15" s="1">
        <f t="shared" si="17"/>
        <v>0</v>
      </c>
      <c r="T15" s="1">
        <f t="shared" si="18"/>
        <v>0</v>
      </c>
      <c r="U15" s="1">
        <f t="shared" si="19"/>
        <v>0</v>
      </c>
      <c r="V15" s="1">
        <f t="shared" si="20"/>
        <v>0</v>
      </c>
      <c r="W15" s="1">
        <f t="shared" si="21"/>
        <v>0</v>
      </c>
      <c r="X15" s="72">
        <f>IF($B$1="M",(VLOOKUP(N15,Tasas!$A$3:$C$65,2)*O15),(VLOOKUP(N15,Tasas!$A$3:$C$65,3)*O15))</f>
        <v>26815799.999999996</v>
      </c>
      <c r="Y15" s="60">
        <f>IF($B$1="M",(VLOOKUP(N15,Tasas!$A$3:$C$65,2)*P15),(VLOOKUP(N15,Tasas!$A$3:$C$65,3)*P15))</f>
        <v>125140.4</v>
      </c>
      <c r="Z15" s="72">
        <f>IF($B$1="M",(VLOOKUP(N15,Tasas!$M$3:$O$55,2)*Q15),(VLOOKUP(N15,Tasas!$M$3:$O$55,3)*Q15))</f>
        <v>7919280</v>
      </c>
      <c r="AA15" s="72">
        <f>IF($B$1="M",(VLOOKUP(N15,Tasas!$E$3:$G$55,2)*R15),(VLOOKUP(N15,Tasas!$E$3:$G$55,3)*R15))</f>
        <v>9653280</v>
      </c>
      <c r="AB15" s="72">
        <f>IF($B$1="M",(VLOOKUP(N15,Tasas!$I$3:$K$55,2)*S15),(VLOOKUP(N15,Tasas!$I$3:$K$55,3)*S15))</f>
        <v>0</v>
      </c>
      <c r="AC15" s="72">
        <f>+T15*Tasas!$R$2</f>
        <v>0</v>
      </c>
      <c r="AD15" s="72">
        <f>U15*Tasas!$R$3</f>
        <v>0</v>
      </c>
      <c r="AE15" s="72">
        <f>+V15*Tasas!$R$4</f>
        <v>0</v>
      </c>
      <c r="AF15" s="72">
        <f>+W15*Tasas!$R$5</f>
        <v>0</v>
      </c>
      <c r="AG15" s="72">
        <v>0</v>
      </c>
      <c r="AH15" s="72">
        <f t="shared" si="1"/>
        <v>44513500.399999991</v>
      </c>
      <c r="AI15" s="72">
        <f t="shared" si="2"/>
        <v>33787180.399999991</v>
      </c>
      <c r="AJ15" s="72"/>
      <c r="AK15" s="60">
        <f t="shared" si="3"/>
        <v>33519749.999999996</v>
      </c>
      <c r="AL15" s="60">
        <f t="shared" si="4"/>
        <v>156425.5</v>
      </c>
      <c r="AM15" s="60">
        <f t="shared" si="5"/>
        <v>7919280</v>
      </c>
      <c r="AN15" s="60">
        <f t="shared" si="6"/>
        <v>9653280</v>
      </c>
      <c r="AO15" s="60">
        <f t="shared" si="7"/>
        <v>0</v>
      </c>
      <c r="AP15" s="60">
        <f t="shared" si="8"/>
        <v>0</v>
      </c>
      <c r="AQ15" s="60">
        <f t="shared" si="9"/>
        <v>0</v>
      </c>
      <c r="AR15" s="60">
        <f t="shared" si="10"/>
        <v>0</v>
      </c>
      <c r="AS15" s="60">
        <f t="shared" si="11"/>
        <v>0</v>
      </c>
      <c r="AT15" s="130">
        <f t="shared" si="12"/>
        <v>51248735.5</v>
      </c>
    </row>
    <row r="16" spans="1:46">
      <c r="N16">
        <f t="shared" si="13"/>
        <v>64</v>
      </c>
      <c r="O16" s="1">
        <f t="shared" si="22"/>
        <v>2085000000</v>
      </c>
      <c r="P16" s="1">
        <f t="shared" si="14"/>
        <v>9730000</v>
      </c>
      <c r="Q16" s="1">
        <f t="shared" si="15"/>
        <v>2085000000</v>
      </c>
      <c r="R16" s="1">
        <f t="shared" si="16"/>
        <v>2085000000</v>
      </c>
      <c r="S16" s="1">
        <f t="shared" si="17"/>
        <v>0</v>
      </c>
      <c r="T16" s="1">
        <f t="shared" si="18"/>
        <v>0</v>
      </c>
      <c r="U16" s="1">
        <f t="shared" si="19"/>
        <v>0</v>
      </c>
      <c r="V16" s="1">
        <f t="shared" si="20"/>
        <v>0</v>
      </c>
      <c r="W16" s="1">
        <f t="shared" si="21"/>
        <v>0</v>
      </c>
      <c r="X16" s="72">
        <f>IF($B$1="M",(VLOOKUP(N16,Tasas!$A$3:$C$65,2)*O16),(VLOOKUP(N16,Tasas!$A$3:$C$65,3)*O16))</f>
        <v>29796735</v>
      </c>
      <c r="Y16" s="60">
        <f>IF($B$1="M",(VLOOKUP(N16,Tasas!$A$3:$C$65,2)*P16),(VLOOKUP(N16,Tasas!$A$3:$C$65,3)*P16))</f>
        <v>139051.43</v>
      </c>
      <c r="Z16" s="72">
        <f>IF($B$1="M",(VLOOKUP(N16,Tasas!$M$3:$O$55,2)*Q16),(VLOOKUP(N16,Tasas!$M$3:$O$55,3)*Q16))</f>
        <v>8800785</v>
      </c>
      <c r="AA16" s="72">
        <f>IF($B$1="M",(VLOOKUP(N16,Tasas!$E$3:$G$55,2)*R16),(VLOOKUP(N16,Tasas!$E$3:$G$55,3)*R16))</f>
        <v>11181855</v>
      </c>
      <c r="AB16" s="72">
        <f>IF($B$1="M",(VLOOKUP(N16,Tasas!$I$3:$K$55,2)*S16),(VLOOKUP(N16,Tasas!$I$3:$K$55,3)*S16))</f>
        <v>0</v>
      </c>
      <c r="AC16" s="72">
        <f>+T16*Tasas!$R$2</f>
        <v>0</v>
      </c>
      <c r="AD16" s="72">
        <f>U16*Tasas!$R$3</f>
        <v>0</v>
      </c>
      <c r="AE16" s="72">
        <f>+V16*Tasas!$R$4</f>
        <v>0</v>
      </c>
      <c r="AF16" s="72">
        <f>+W16*Tasas!$R$5</f>
        <v>0</v>
      </c>
      <c r="AG16" s="72">
        <v>0</v>
      </c>
      <c r="AH16" s="72">
        <f t="shared" si="1"/>
        <v>49918426.43</v>
      </c>
      <c r="AI16" s="72">
        <f t="shared" si="2"/>
        <v>37999732.43</v>
      </c>
      <c r="AJ16" s="72"/>
      <c r="AK16" s="60">
        <f t="shared" si="3"/>
        <v>37245918.75</v>
      </c>
      <c r="AL16" s="60">
        <f t="shared" si="4"/>
        <v>173814.28749999998</v>
      </c>
      <c r="AM16" s="60">
        <f t="shared" si="5"/>
        <v>8800785</v>
      </c>
      <c r="AN16" s="60">
        <f t="shared" si="6"/>
        <v>11181855</v>
      </c>
      <c r="AO16" s="60">
        <f t="shared" si="7"/>
        <v>0</v>
      </c>
      <c r="AP16" s="60">
        <f t="shared" si="8"/>
        <v>0</v>
      </c>
      <c r="AQ16" s="60">
        <f t="shared" si="9"/>
        <v>0</v>
      </c>
      <c r="AR16" s="60">
        <f t="shared" si="10"/>
        <v>0</v>
      </c>
      <c r="AS16" s="60">
        <f t="shared" si="11"/>
        <v>0</v>
      </c>
      <c r="AT16" s="130">
        <f t="shared" si="12"/>
        <v>57402373.037500001</v>
      </c>
    </row>
    <row r="17" spans="2:46">
      <c r="N17">
        <f t="shared" si="13"/>
        <v>65</v>
      </c>
      <c r="O17" s="1">
        <f t="shared" si="22"/>
        <v>2130000000</v>
      </c>
      <c r="P17" s="1">
        <f t="shared" si="14"/>
        <v>9940000</v>
      </c>
      <c r="Q17" s="1">
        <f t="shared" si="15"/>
        <v>2130000000</v>
      </c>
      <c r="R17" s="1">
        <f t="shared" si="16"/>
        <v>2130000000</v>
      </c>
      <c r="S17" s="1">
        <f t="shared" si="17"/>
        <v>0</v>
      </c>
      <c r="T17" s="1">
        <f t="shared" si="18"/>
        <v>0</v>
      </c>
      <c r="U17" s="1">
        <f t="shared" si="19"/>
        <v>0</v>
      </c>
      <c r="V17" s="1">
        <f t="shared" si="20"/>
        <v>0</v>
      </c>
      <c r="W17" s="1">
        <f t="shared" si="21"/>
        <v>0</v>
      </c>
      <c r="X17" s="72">
        <f>IF($B$1="M",(VLOOKUP(N17,Tasas!$A$3:$C$65,2)*O17),(VLOOKUP(N17,Tasas!$A$3:$C$65,3)*O17))</f>
        <v>32906370</v>
      </c>
      <c r="Y17" s="60">
        <f>IF($B$1="M",(VLOOKUP(N17,Tasas!$A$3:$C$65,2)*P17),(VLOOKUP(N17,Tasas!$A$3:$C$65,3)*P17))</f>
        <v>153563.06</v>
      </c>
      <c r="Z17" s="72">
        <f>IF($B$1="M",(VLOOKUP(N17,Tasas!$M$3:$O$55,2)*Q17),(VLOOKUP(N17,Tasas!$M$3:$O$55,3)*Q17))</f>
        <v>9719190</v>
      </c>
      <c r="AA17" s="72">
        <f>IF($B$1="M",(VLOOKUP(N17,Tasas!$E$3:$G$55,2)*R17),(VLOOKUP(N17,Tasas!$E$3:$G$55,3)*R17))</f>
        <v>12094140</v>
      </c>
      <c r="AB17" s="72">
        <f>IF($B$1="M",(VLOOKUP(N17,Tasas!$I$3:$K$55,2)*S17),(VLOOKUP(N17,Tasas!$I$3:$K$55,3)*S17))</f>
        <v>0</v>
      </c>
      <c r="AC17" s="72">
        <f>+T17*Tasas!$R$2</f>
        <v>0</v>
      </c>
      <c r="AD17" s="72">
        <f>U17*Tasas!$R$3</f>
        <v>0</v>
      </c>
      <c r="AE17" s="72">
        <f>+V17*Tasas!$R$4</f>
        <v>0</v>
      </c>
      <c r="AF17" s="72">
        <f>+W17*Tasas!$R$5</f>
        <v>0</v>
      </c>
      <c r="AG17" s="72">
        <v>0</v>
      </c>
      <c r="AH17" s="72">
        <f t="shared" si="1"/>
        <v>54873263.060000002</v>
      </c>
      <c r="AI17" s="72">
        <f t="shared" si="2"/>
        <v>41710715.060000002</v>
      </c>
      <c r="AJ17" s="72"/>
      <c r="AK17" s="60">
        <f t="shared" si="3"/>
        <v>41132962.5</v>
      </c>
      <c r="AL17" s="60">
        <f t="shared" si="4"/>
        <v>191953.82500000001</v>
      </c>
      <c r="AM17" s="60">
        <f t="shared" si="5"/>
        <v>9719190</v>
      </c>
      <c r="AN17" s="60">
        <f t="shared" si="6"/>
        <v>12094140</v>
      </c>
      <c r="AO17" s="60">
        <f t="shared" si="7"/>
        <v>0</v>
      </c>
      <c r="AP17" s="60">
        <f t="shared" si="8"/>
        <v>0</v>
      </c>
      <c r="AQ17" s="60">
        <f t="shared" si="9"/>
        <v>0</v>
      </c>
      <c r="AR17" s="60">
        <f t="shared" si="10"/>
        <v>0</v>
      </c>
      <c r="AS17" s="60">
        <f t="shared" si="11"/>
        <v>0</v>
      </c>
      <c r="AT17" s="130">
        <f t="shared" si="12"/>
        <v>63138246.325000003</v>
      </c>
    </row>
    <row r="18" spans="2:46">
      <c r="N18">
        <f t="shared" si="13"/>
        <v>66</v>
      </c>
      <c r="O18" s="1">
        <f t="shared" si="22"/>
        <v>2175000000</v>
      </c>
      <c r="P18" s="1">
        <f t="shared" si="14"/>
        <v>10150000</v>
      </c>
      <c r="Q18" s="1">
        <f t="shared" si="15"/>
        <v>2175000000</v>
      </c>
      <c r="R18" s="1">
        <f t="shared" si="16"/>
        <v>2175000000</v>
      </c>
      <c r="S18" s="1">
        <f t="shared" si="17"/>
        <v>0</v>
      </c>
      <c r="T18" s="1">
        <f t="shared" si="18"/>
        <v>0</v>
      </c>
      <c r="U18" s="1">
        <f t="shared" si="19"/>
        <v>0</v>
      </c>
      <c r="V18" s="1">
        <f t="shared" si="20"/>
        <v>0</v>
      </c>
      <c r="W18" s="1">
        <f t="shared" si="21"/>
        <v>0</v>
      </c>
      <c r="X18" s="72">
        <f>IF($B$1="M",(VLOOKUP(N18,Tasas!$A$3:$C$65,2)*O18),(VLOOKUP(N18,Tasas!$A$3:$C$65,3)*O18))</f>
        <v>35998425</v>
      </c>
      <c r="Y18" s="60">
        <f>IF($B$1="M",(VLOOKUP(N18,Tasas!$A$3:$C$65,2)*P18),(VLOOKUP(N18,Tasas!$A$3:$C$65,3)*P18))</f>
        <v>167992.65</v>
      </c>
      <c r="Z18" s="72">
        <f>IF($B$1="M",(VLOOKUP(N18,Tasas!$M$3:$O$55,2)*Q18),(VLOOKUP(N18,Tasas!$M$3:$O$55,3)*Q18))</f>
        <v>10631400</v>
      </c>
      <c r="AA18" s="72">
        <f>IF($B$1="M",(VLOOKUP(N18,Tasas!$E$3:$G$55,2)*R18),(VLOOKUP(N18,Tasas!$E$3:$G$55,3)*R18))</f>
        <v>13036950</v>
      </c>
      <c r="AB18" s="72">
        <f>IF($B$1="M",(VLOOKUP(N18,Tasas!$I$3:$K$55,2)*S18),(VLOOKUP(N18,Tasas!$I$3:$K$55,3)*S18))</f>
        <v>0</v>
      </c>
      <c r="AC18" s="72">
        <f>+T18*Tasas!$R$2</f>
        <v>0</v>
      </c>
      <c r="AD18" s="72">
        <f>U18*Tasas!$R$3</f>
        <v>0</v>
      </c>
      <c r="AE18" s="72">
        <f>+V18*Tasas!$R$4</f>
        <v>0</v>
      </c>
      <c r="AF18" s="72">
        <f>+W18*Tasas!$R$5</f>
        <v>0</v>
      </c>
      <c r="AG18" s="72">
        <v>0</v>
      </c>
      <c r="AH18" s="72">
        <f t="shared" si="1"/>
        <v>59834767.649999999</v>
      </c>
      <c r="AI18" s="72">
        <f t="shared" si="2"/>
        <v>45435397.649999999</v>
      </c>
      <c r="AJ18" s="72"/>
      <c r="AK18" s="60">
        <f t="shared" si="3"/>
        <v>44998031.25</v>
      </c>
      <c r="AL18" s="60">
        <f t="shared" si="4"/>
        <v>209990.8125</v>
      </c>
      <c r="AM18" s="60">
        <f t="shared" si="5"/>
        <v>10631400</v>
      </c>
      <c r="AN18" s="60">
        <f t="shared" si="6"/>
        <v>13036950</v>
      </c>
      <c r="AO18" s="60">
        <f t="shared" si="7"/>
        <v>0</v>
      </c>
      <c r="AP18" s="60">
        <f t="shared" si="8"/>
        <v>0</v>
      </c>
      <c r="AQ18" s="60">
        <f t="shared" si="9"/>
        <v>0</v>
      </c>
      <c r="AR18" s="60">
        <f t="shared" si="10"/>
        <v>0</v>
      </c>
      <c r="AS18" s="60">
        <f t="shared" si="11"/>
        <v>0</v>
      </c>
      <c r="AT18" s="130">
        <f t="shared" si="12"/>
        <v>68876372.0625</v>
      </c>
    </row>
    <row r="19" spans="2:46">
      <c r="N19">
        <f t="shared" si="13"/>
        <v>67</v>
      </c>
      <c r="O19" s="1">
        <f t="shared" si="22"/>
        <v>2220000000</v>
      </c>
      <c r="P19" s="1">
        <f t="shared" si="14"/>
        <v>10360000</v>
      </c>
      <c r="Q19" s="1">
        <f t="shared" si="15"/>
        <v>2220000000</v>
      </c>
      <c r="R19" s="1">
        <f t="shared" si="16"/>
        <v>2220000000</v>
      </c>
      <c r="S19" s="1">
        <f t="shared" si="17"/>
        <v>0</v>
      </c>
      <c r="T19" s="1">
        <f t="shared" si="18"/>
        <v>0</v>
      </c>
      <c r="U19" s="1">
        <f t="shared" si="19"/>
        <v>0</v>
      </c>
      <c r="V19" s="1">
        <f t="shared" si="20"/>
        <v>0</v>
      </c>
      <c r="W19" s="1">
        <f t="shared" si="21"/>
        <v>0</v>
      </c>
      <c r="X19" s="72">
        <f>IF($B$1="M",(VLOOKUP(N19,Tasas!$A$3:$C$65,2)*O19),(VLOOKUP(N19,Tasas!$A$3:$C$65,3)*O19))</f>
        <v>39222960</v>
      </c>
      <c r="Y19" s="60">
        <f>IF($B$1="M",(VLOOKUP(N19,Tasas!$A$3:$C$65,2)*P19),(VLOOKUP(N19,Tasas!$A$3:$C$65,3)*P19))</f>
        <v>183040.48</v>
      </c>
      <c r="Z19" s="72">
        <f>IF($B$1="M",(VLOOKUP(N19,Tasas!$M$3:$O$55,2)*Q19),(VLOOKUP(N19,Tasas!$M$3:$O$55,3)*Q19))</f>
        <v>11583960</v>
      </c>
      <c r="AA19" s="72">
        <f>IF($B$1="M",(VLOOKUP(N19,Tasas!$E$3:$G$55,2)*R19),(VLOOKUP(N19,Tasas!$E$3:$G$55,3)*R19))</f>
        <v>14005980</v>
      </c>
      <c r="AB19" s="72">
        <f>IF($B$1="M",(VLOOKUP(N19,Tasas!$I$3:$K$55,2)*S19),(VLOOKUP(N19,Tasas!$I$3:$K$55,3)*S19))</f>
        <v>0</v>
      </c>
      <c r="AC19" s="72">
        <f>+T19*Tasas!$R$2</f>
        <v>0</v>
      </c>
      <c r="AD19" s="72">
        <f>U19*Tasas!$R$3</f>
        <v>0</v>
      </c>
      <c r="AE19" s="72">
        <f>+V19*Tasas!$R$4</f>
        <v>0</v>
      </c>
      <c r="AF19" s="72">
        <f>+W19*Tasas!$R$5</f>
        <v>0</v>
      </c>
      <c r="AG19" s="72">
        <v>0</v>
      </c>
      <c r="AH19" s="72">
        <f t="shared" si="1"/>
        <v>64995940.479999997</v>
      </c>
      <c r="AI19" s="72">
        <f t="shared" si="2"/>
        <v>49306756.479999997</v>
      </c>
      <c r="AJ19" s="72"/>
      <c r="AK19" s="60">
        <f t="shared" si="3"/>
        <v>49028700</v>
      </c>
      <c r="AL19" s="60">
        <f t="shared" si="4"/>
        <v>228800.6</v>
      </c>
      <c r="AM19" s="60">
        <f t="shared" si="5"/>
        <v>11583960</v>
      </c>
      <c r="AN19" s="60">
        <f t="shared" si="6"/>
        <v>14005980</v>
      </c>
      <c r="AO19" s="60">
        <f t="shared" si="7"/>
        <v>0</v>
      </c>
      <c r="AP19" s="60">
        <f t="shared" si="8"/>
        <v>0</v>
      </c>
      <c r="AQ19" s="60">
        <f t="shared" si="9"/>
        <v>0</v>
      </c>
      <c r="AR19" s="60">
        <f t="shared" si="10"/>
        <v>0</v>
      </c>
      <c r="AS19" s="60">
        <f t="shared" si="11"/>
        <v>0</v>
      </c>
      <c r="AT19" s="130">
        <f t="shared" si="12"/>
        <v>74847440.599999994</v>
      </c>
    </row>
    <row r="20" spans="2:46">
      <c r="N20">
        <f t="shared" si="13"/>
        <v>68</v>
      </c>
      <c r="O20" s="1">
        <f t="shared" si="22"/>
        <v>2265000000</v>
      </c>
      <c r="P20" s="1">
        <f t="shared" si="14"/>
        <v>10570000</v>
      </c>
      <c r="Q20" s="1">
        <f t="shared" si="15"/>
        <v>2265000000</v>
      </c>
      <c r="R20" s="1">
        <f t="shared" si="16"/>
        <v>2265000000</v>
      </c>
      <c r="S20" s="1">
        <f t="shared" si="17"/>
        <v>0</v>
      </c>
      <c r="T20" s="1">
        <f t="shared" si="18"/>
        <v>0</v>
      </c>
      <c r="U20" s="1">
        <f t="shared" si="19"/>
        <v>0</v>
      </c>
      <c r="V20" s="1">
        <f t="shared" si="20"/>
        <v>0</v>
      </c>
      <c r="W20" s="1">
        <f t="shared" si="21"/>
        <v>0</v>
      </c>
      <c r="X20" s="72">
        <f>IF($B$1="M",(VLOOKUP(N20,Tasas!$A$3:$C$65,2)*O20),(VLOOKUP(N20,Tasas!$A$3:$C$65,3)*O20))</f>
        <v>43569540</v>
      </c>
      <c r="Y20" s="60">
        <f>IF($B$1="M",(VLOOKUP(N20,Tasas!$A$3:$C$65,2)*P20),(VLOOKUP(N20,Tasas!$A$3:$C$65,3)*P20))</f>
        <v>203324.52</v>
      </c>
      <c r="Z20" s="72">
        <f>IF($B$1="M",(VLOOKUP(N20,Tasas!$M$3:$O$55,2)*Q20),(VLOOKUP(N20,Tasas!$M$3:$O$55,3)*Q20))</f>
        <v>12867465</v>
      </c>
      <c r="AA20" s="72">
        <f>IF($B$1="M",(VLOOKUP(N20,Tasas!$E$3:$G$55,2)*R20),(VLOOKUP(N20,Tasas!$E$3:$G$55,3)*R20))</f>
        <v>15003360.000000002</v>
      </c>
      <c r="AB20" s="72">
        <f>IF($B$1="M",(VLOOKUP(N20,Tasas!$I$3:$K$55,2)*S20),(VLOOKUP(N20,Tasas!$I$3:$K$55,3)*S20))</f>
        <v>0</v>
      </c>
      <c r="AC20" s="72">
        <f>+T20*Tasas!$R$2</f>
        <v>0</v>
      </c>
      <c r="AD20" s="72">
        <f>U20*Tasas!$R$3</f>
        <v>0</v>
      </c>
      <c r="AE20" s="72">
        <f>+V20*Tasas!$R$4</f>
        <v>0</v>
      </c>
      <c r="AF20" s="72">
        <f>+W20*Tasas!$R$5</f>
        <v>0</v>
      </c>
      <c r="AG20" s="72">
        <v>0</v>
      </c>
      <c r="AH20" s="72">
        <f t="shared" si="1"/>
        <v>71643689.520000011</v>
      </c>
      <c r="AI20" s="72">
        <f t="shared" si="2"/>
        <v>54215873.520000011</v>
      </c>
      <c r="AJ20" s="72"/>
      <c r="AK20" s="60">
        <f t="shared" si="3"/>
        <v>54461925</v>
      </c>
      <c r="AL20" s="60">
        <f t="shared" si="4"/>
        <v>254155.65</v>
      </c>
      <c r="AM20" s="60">
        <f t="shared" si="5"/>
        <v>12867465</v>
      </c>
      <c r="AN20" s="60">
        <f t="shared" si="6"/>
        <v>15003360.000000002</v>
      </c>
      <c r="AO20" s="60">
        <f t="shared" si="7"/>
        <v>0</v>
      </c>
      <c r="AP20" s="60">
        <f t="shared" si="8"/>
        <v>0</v>
      </c>
      <c r="AQ20" s="60">
        <f t="shared" si="9"/>
        <v>0</v>
      </c>
      <c r="AR20" s="60">
        <f t="shared" si="10"/>
        <v>0</v>
      </c>
      <c r="AS20" s="60">
        <f t="shared" si="11"/>
        <v>0</v>
      </c>
      <c r="AT20" s="130">
        <f t="shared" si="12"/>
        <v>82586905.650000006</v>
      </c>
    </row>
    <row r="21" spans="2:46">
      <c r="B21">
        <f>+Inicio!E29</f>
        <v>0</v>
      </c>
      <c r="N21">
        <f t="shared" si="13"/>
        <v>69</v>
      </c>
      <c r="O21" s="1">
        <f t="shared" si="22"/>
        <v>2310000000</v>
      </c>
      <c r="P21" s="1">
        <f t="shared" si="14"/>
        <v>10780000</v>
      </c>
      <c r="Q21" s="1">
        <f t="shared" si="15"/>
        <v>2310000000</v>
      </c>
      <c r="R21" s="1">
        <f t="shared" si="16"/>
        <v>2310000000</v>
      </c>
      <c r="S21" s="1">
        <f t="shared" si="17"/>
        <v>0</v>
      </c>
      <c r="T21" s="1">
        <f t="shared" si="18"/>
        <v>0</v>
      </c>
      <c r="U21" s="1">
        <f t="shared" si="19"/>
        <v>0</v>
      </c>
      <c r="V21" s="1">
        <f t="shared" si="20"/>
        <v>0</v>
      </c>
      <c r="W21" s="1">
        <f t="shared" si="21"/>
        <v>0</v>
      </c>
      <c r="X21" s="72">
        <f>IF($B$1="M",(VLOOKUP(N21,Tasas!$A$3:$C$65,2)*O21),(VLOOKUP(N21,Tasas!$A$3:$C$65,3)*O21))</f>
        <v>47576760</v>
      </c>
      <c r="Y21" s="60">
        <f>IF($B$1="M",(VLOOKUP(N21,Tasas!$A$3:$C$65,2)*P21),(VLOOKUP(N21,Tasas!$A$3:$C$65,3)*P21))</f>
        <v>222024.88</v>
      </c>
      <c r="Z21" s="72">
        <f>IF($B$1="M",(VLOOKUP(N21,Tasas!$M$3:$O$55,2)*Q21),(VLOOKUP(N21,Tasas!$M$3:$O$55,3)*Q21))</f>
        <v>14049420</v>
      </c>
      <c r="AA21" s="72">
        <f>IF($B$1="M",(VLOOKUP(N21,Tasas!$E$3:$G$55,2)*R21),(VLOOKUP(N21,Tasas!$E$3:$G$55,3)*R21))</f>
        <v>16759050</v>
      </c>
      <c r="AB21" s="72">
        <f>IF($B$1="M",(VLOOKUP(N21,Tasas!$I$3:$K$55,2)*S21),(VLOOKUP(N21,Tasas!$I$3:$K$55,3)*S21))</f>
        <v>0</v>
      </c>
      <c r="AC21" s="72">
        <f>+T21*Tasas!$R$2</f>
        <v>0</v>
      </c>
      <c r="AD21" s="72">
        <f>U21*Tasas!$R$3</f>
        <v>0</v>
      </c>
      <c r="AE21" s="72">
        <f>+V21*Tasas!$R$4</f>
        <v>0</v>
      </c>
      <c r="AF21" s="72">
        <f>+W21*Tasas!$R$5</f>
        <v>0</v>
      </c>
      <c r="AG21" s="72">
        <v>0</v>
      </c>
      <c r="AH21" s="72">
        <f t="shared" si="1"/>
        <v>78607254.879999995</v>
      </c>
      <c r="AI21" s="72">
        <f t="shared" si="2"/>
        <v>59576550.879999995</v>
      </c>
      <c r="AJ21" s="72"/>
      <c r="AK21" s="60">
        <f t="shared" si="3"/>
        <v>59470950</v>
      </c>
      <c r="AL21" s="60">
        <f t="shared" si="4"/>
        <v>277531.09999999998</v>
      </c>
      <c r="AM21" s="60">
        <f t="shared" si="5"/>
        <v>14049420</v>
      </c>
      <c r="AN21" s="60">
        <f t="shared" si="6"/>
        <v>16759050</v>
      </c>
      <c r="AO21" s="60">
        <f t="shared" si="7"/>
        <v>0</v>
      </c>
      <c r="AP21" s="60">
        <f t="shared" si="8"/>
        <v>0</v>
      </c>
      <c r="AQ21" s="60">
        <f t="shared" si="9"/>
        <v>0</v>
      </c>
      <c r="AR21" s="60">
        <f t="shared" si="10"/>
        <v>0</v>
      </c>
      <c r="AS21" s="60">
        <f t="shared" si="11"/>
        <v>0</v>
      </c>
      <c r="AT21" s="130">
        <f t="shared" si="12"/>
        <v>90556951.099999994</v>
      </c>
    </row>
    <row r="22" spans="2:46">
      <c r="N22">
        <f t="shared" si="13"/>
        <v>70</v>
      </c>
      <c r="O22" s="1">
        <f t="shared" si="22"/>
        <v>2355000000</v>
      </c>
      <c r="P22" s="1">
        <f t="shared" si="14"/>
        <v>10990000</v>
      </c>
      <c r="Q22" s="1">
        <f t="shared" si="15"/>
        <v>0</v>
      </c>
      <c r="R22" s="1">
        <f t="shared" si="16"/>
        <v>0</v>
      </c>
      <c r="S22" s="1">
        <f t="shared" si="17"/>
        <v>0</v>
      </c>
      <c r="T22" s="1">
        <f t="shared" si="18"/>
        <v>0</v>
      </c>
      <c r="U22" s="1">
        <f t="shared" si="19"/>
        <v>0</v>
      </c>
      <c r="V22" s="1">
        <f t="shared" si="20"/>
        <v>0</v>
      </c>
      <c r="W22" s="1">
        <f t="shared" si="21"/>
        <v>0</v>
      </c>
      <c r="X22" s="72">
        <f>IF($B$1="M",(VLOOKUP(N22,Tasas!$A$3:$C$65,2)*O22),(VLOOKUP(N22,Tasas!$A$3:$C$65,3)*O22))</f>
        <v>52177380.000000007</v>
      </c>
      <c r="Y22" s="60">
        <f>IF($B$1="M",(VLOOKUP(N22,Tasas!$A$3:$C$65,2)*P22),(VLOOKUP(N22,Tasas!$A$3:$C$65,3)*P22))</f>
        <v>243494.44000000003</v>
      </c>
      <c r="Z22" s="72">
        <f>IF($B$1="M",(VLOOKUP(N22,Tasas!$M$3:$O$55,2)*Q22),(VLOOKUP(N22,Tasas!$M$3:$O$55,3)*Q22))</f>
        <v>0</v>
      </c>
      <c r="AA22" s="72">
        <f>IF($B$1="M",(VLOOKUP(N22,Tasas!$E$3:$G$55,2)*R22),(VLOOKUP(N22,Tasas!$E$3:$G$55,3)*R22))</f>
        <v>0</v>
      </c>
      <c r="AB22" s="72">
        <f>IF($B$1="M",(VLOOKUP(N22,Tasas!$I$3:$K$55,2)*S22),(VLOOKUP(N22,Tasas!$I$3:$K$55,3)*S22))</f>
        <v>0</v>
      </c>
      <c r="AC22" s="72">
        <f>+T22*Tasas!$R$2</f>
        <v>0</v>
      </c>
      <c r="AD22" s="72">
        <f>U22*Tasas!$R$3</f>
        <v>0</v>
      </c>
      <c r="AE22" s="72">
        <f>+V22*Tasas!$R$4</f>
        <v>0</v>
      </c>
      <c r="AF22" s="72">
        <f>+W22*Tasas!$R$5</f>
        <v>0</v>
      </c>
      <c r="AG22" s="72">
        <v>0</v>
      </c>
      <c r="AH22" s="72">
        <f t="shared" si="1"/>
        <v>52420874.440000005</v>
      </c>
      <c r="AI22" s="72">
        <f t="shared" si="2"/>
        <v>31549922.440000001</v>
      </c>
      <c r="AJ22" s="72"/>
      <c r="AK22" s="60">
        <f t="shared" si="3"/>
        <v>65221725.000000007</v>
      </c>
      <c r="AL22" s="60">
        <f t="shared" si="4"/>
        <v>304368.05000000005</v>
      </c>
      <c r="AM22" s="60">
        <f t="shared" si="5"/>
        <v>0</v>
      </c>
      <c r="AN22" s="60">
        <f t="shared" si="6"/>
        <v>0</v>
      </c>
      <c r="AO22" s="60">
        <f t="shared" si="7"/>
        <v>0</v>
      </c>
      <c r="AP22" s="60">
        <f t="shared" si="8"/>
        <v>0</v>
      </c>
      <c r="AQ22" s="60">
        <f t="shared" si="9"/>
        <v>0</v>
      </c>
      <c r="AR22" s="60">
        <f t="shared" si="10"/>
        <v>0</v>
      </c>
      <c r="AS22" s="60">
        <f t="shared" si="11"/>
        <v>0</v>
      </c>
      <c r="AT22" s="130">
        <f t="shared" si="12"/>
        <v>65526093.050000004</v>
      </c>
    </row>
    <row r="23" spans="2:46">
      <c r="N23">
        <f t="shared" si="13"/>
        <v>71</v>
      </c>
      <c r="O23" s="1">
        <f t="shared" si="22"/>
        <v>2400000000</v>
      </c>
      <c r="P23" s="1">
        <f t="shared" si="14"/>
        <v>11200000</v>
      </c>
      <c r="Q23" s="1">
        <f t="shared" si="15"/>
        <v>0</v>
      </c>
      <c r="R23" s="1">
        <f t="shared" si="16"/>
        <v>0</v>
      </c>
      <c r="S23" s="1">
        <f t="shared" si="17"/>
        <v>0</v>
      </c>
      <c r="T23" s="1">
        <f t="shared" si="18"/>
        <v>0</v>
      </c>
      <c r="U23" s="1">
        <f t="shared" si="19"/>
        <v>0</v>
      </c>
      <c r="V23" s="1">
        <f t="shared" si="20"/>
        <v>0</v>
      </c>
      <c r="W23" s="1">
        <f t="shared" si="21"/>
        <v>0</v>
      </c>
      <c r="X23" s="72">
        <f>IF($B$1="M",(VLOOKUP(N23,Tasas!$A$3:$C$65,2)*O23),(VLOOKUP(N23,Tasas!$A$3:$C$65,3)*O23))</f>
        <v>57808800</v>
      </c>
      <c r="Y23" s="60">
        <f>IF($B$1="M",(VLOOKUP(N23,Tasas!$A$3:$C$65,2)*P23),(VLOOKUP(N23,Tasas!$A$3:$C$65,3)*P23))</f>
        <v>269774.40000000002</v>
      </c>
      <c r="Z23" s="72">
        <f>IF($B$1="M",(VLOOKUP(N23,Tasas!$M$3:$O$55,2)*Q23),(VLOOKUP(N23,Tasas!$M$3:$O$55,3)*Q23))</f>
        <v>0</v>
      </c>
      <c r="AA23" s="72">
        <f>IF($B$1="M",(VLOOKUP(N23,Tasas!$E$3:$G$55,2)*R23),(VLOOKUP(N23,Tasas!$E$3:$G$55,3)*R23))</f>
        <v>0</v>
      </c>
      <c r="AB23" s="72">
        <f>IF($B$1="M",(VLOOKUP(N23,Tasas!$I$3:$K$55,2)*S23),(VLOOKUP(N23,Tasas!$I$3:$K$55,3)*S23))</f>
        <v>0</v>
      </c>
      <c r="AC23" s="72">
        <f>+T23*Tasas!$R$2</f>
        <v>0</v>
      </c>
      <c r="AD23" s="72">
        <f>U23*Tasas!$R$3</f>
        <v>0</v>
      </c>
      <c r="AE23" s="72">
        <f>+V23*Tasas!$R$4</f>
        <v>0</v>
      </c>
      <c r="AF23" s="72">
        <f>+W23*Tasas!$R$5</f>
        <v>0</v>
      </c>
      <c r="AG23" s="72">
        <v>0</v>
      </c>
      <c r="AH23" s="72">
        <f t="shared" si="1"/>
        <v>58078574.399999999</v>
      </c>
      <c r="AI23" s="72">
        <f t="shared" si="2"/>
        <v>34955054.399999999</v>
      </c>
      <c r="AJ23" s="72"/>
      <c r="AK23" s="60">
        <f t="shared" si="3"/>
        <v>72261000</v>
      </c>
      <c r="AL23" s="60">
        <f t="shared" si="4"/>
        <v>337218</v>
      </c>
      <c r="AM23" s="60">
        <f t="shared" si="5"/>
        <v>0</v>
      </c>
      <c r="AN23" s="60">
        <f t="shared" si="6"/>
        <v>0</v>
      </c>
      <c r="AO23" s="60">
        <f t="shared" si="7"/>
        <v>0</v>
      </c>
      <c r="AP23" s="60">
        <f t="shared" si="8"/>
        <v>0</v>
      </c>
      <c r="AQ23" s="60">
        <f t="shared" si="9"/>
        <v>0</v>
      </c>
      <c r="AR23" s="60">
        <f t="shared" si="10"/>
        <v>0</v>
      </c>
      <c r="AS23" s="60">
        <f t="shared" si="11"/>
        <v>0</v>
      </c>
      <c r="AT23" s="130">
        <f t="shared" si="12"/>
        <v>72598218</v>
      </c>
    </row>
    <row r="24" spans="2:46">
      <c r="N24">
        <f t="shared" si="13"/>
        <v>72</v>
      </c>
      <c r="O24" s="1">
        <f t="shared" si="22"/>
        <v>2445000000</v>
      </c>
      <c r="P24" s="1">
        <f t="shared" si="14"/>
        <v>11410000</v>
      </c>
      <c r="Q24" s="1">
        <f t="shared" si="15"/>
        <v>0</v>
      </c>
      <c r="R24" s="1">
        <f t="shared" si="16"/>
        <v>0</v>
      </c>
      <c r="S24" s="1">
        <f t="shared" si="17"/>
        <v>0</v>
      </c>
      <c r="T24" s="1">
        <f t="shared" si="18"/>
        <v>0</v>
      </c>
      <c r="U24" s="1">
        <f t="shared" si="19"/>
        <v>0</v>
      </c>
      <c r="V24" s="1">
        <f t="shared" si="20"/>
        <v>0</v>
      </c>
      <c r="W24" s="1">
        <f t="shared" si="21"/>
        <v>0</v>
      </c>
      <c r="X24" s="72">
        <f>IF($B$1="M",(VLOOKUP(N24,Tasas!$A$3:$C$65,2)*O24),(VLOOKUP(N24,Tasas!$A$3:$C$65,3)*O24))</f>
        <v>64562670.000000007</v>
      </c>
      <c r="Y24" s="60">
        <f>IF($B$1="M",(VLOOKUP(N24,Tasas!$A$3:$C$65,2)*P24),(VLOOKUP(N24,Tasas!$A$3:$C$65,3)*P24))</f>
        <v>301292.46000000002</v>
      </c>
      <c r="Z24" s="72">
        <f>IF($B$1="M",(VLOOKUP(N24,Tasas!$M$3:$O$55,2)*Q24),(VLOOKUP(N24,Tasas!$M$3:$O$55,3)*Q24))</f>
        <v>0</v>
      </c>
      <c r="AA24" s="72">
        <f>IF($B$1="M",(VLOOKUP(N24,Tasas!$E$3:$G$55,2)*R24),(VLOOKUP(N24,Tasas!$E$3:$G$55,3)*R24))</f>
        <v>0</v>
      </c>
      <c r="AB24" s="72">
        <f>IF($B$1="M",(VLOOKUP(N24,Tasas!$I$3:$K$55,2)*S24),(VLOOKUP(N24,Tasas!$I$3:$K$55,3)*S24))</f>
        <v>0</v>
      </c>
      <c r="AC24" s="72">
        <f>+T24*Tasas!$R$2</f>
        <v>0</v>
      </c>
      <c r="AD24" s="72">
        <f>U24*Tasas!$R$3</f>
        <v>0</v>
      </c>
      <c r="AE24" s="72">
        <f>+V24*Tasas!$R$4</f>
        <v>0</v>
      </c>
      <c r="AF24" s="72">
        <f>+W24*Tasas!$R$5</f>
        <v>0</v>
      </c>
      <c r="AG24" s="72">
        <v>0</v>
      </c>
      <c r="AH24" s="72">
        <f t="shared" si="1"/>
        <v>64863962.460000008</v>
      </c>
      <c r="AI24" s="72">
        <f t="shared" si="2"/>
        <v>39038894.460000008</v>
      </c>
      <c r="AJ24" s="72"/>
      <c r="AK24" s="60">
        <f t="shared" si="3"/>
        <v>80703337.500000015</v>
      </c>
      <c r="AL24" s="60">
        <f t="shared" si="4"/>
        <v>376615.57500000001</v>
      </c>
      <c r="AM24" s="60">
        <f t="shared" si="5"/>
        <v>0</v>
      </c>
      <c r="AN24" s="60">
        <f t="shared" si="6"/>
        <v>0</v>
      </c>
      <c r="AO24" s="60">
        <f t="shared" si="7"/>
        <v>0</v>
      </c>
      <c r="AP24" s="60">
        <f t="shared" si="8"/>
        <v>0</v>
      </c>
      <c r="AQ24" s="60">
        <f t="shared" si="9"/>
        <v>0</v>
      </c>
      <c r="AR24" s="60">
        <f t="shared" si="10"/>
        <v>0</v>
      </c>
      <c r="AS24" s="60">
        <f t="shared" si="11"/>
        <v>0</v>
      </c>
      <c r="AT24" s="130">
        <f t="shared" si="12"/>
        <v>81079953.075000018</v>
      </c>
    </row>
    <row r="25" spans="2:46">
      <c r="N25">
        <f t="shared" si="13"/>
        <v>73</v>
      </c>
      <c r="O25" s="1">
        <f t="shared" si="22"/>
        <v>2490000000</v>
      </c>
      <c r="P25" s="1">
        <f t="shared" si="14"/>
        <v>11620000</v>
      </c>
      <c r="Q25" s="1">
        <f t="shared" si="15"/>
        <v>0</v>
      </c>
      <c r="R25" s="1">
        <f t="shared" si="16"/>
        <v>0</v>
      </c>
      <c r="S25" s="1">
        <f t="shared" si="17"/>
        <v>0</v>
      </c>
      <c r="T25" s="1">
        <f t="shared" si="18"/>
        <v>0</v>
      </c>
      <c r="U25" s="1">
        <f t="shared" si="19"/>
        <v>0</v>
      </c>
      <c r="V25" s="1">
        <f t="shared" si="20"/>
        <v>0</v>
      </c>
      <c r="W25" s="1">
        <f t="shared" si="21"/>
        <v>0</v>
      </c>
      <c r="X25" s="72">
        <f>IF($B$1="M",(VLOOKUP(N25,Tasas!$A$3:$C$65,2)*O25),(VLOOKUP(N25,Tasas!$A$3:$C$65,3)*O25))</f>
        <v>73427610</v>
      </c>
      <c r="Y25" s="60">
        <f>IF($B$1="M",(VLOOKUP(N25,Tasas!$A$3:$C$65,2)*P25),(VLOOKUP(N25,Tasas!$A$3:$C$65,3)*P25))</f>
        <v>342662.18</v>
      </c>
      <c r="Z25" s="72">
        <f>IF($B$1="M",(VLOOKUP(N25,Tasas!$M$3:$O$55,2)*Q25),(VLOOKUP(N25,Tasas!$M$3:$O$55,3)*Q25))</f>
        <v>0</v>
      </c>
      <c r="AA25" s="72">
        <f>IF($B$1="M",(VLOOKUP(N25,Tasas!$E$3:$G$55,2)*R25),(VLOOKUP(N25,Tasas!$E$3:$G$55,3)*R25))</f>
        <v>0</v>
      </c>
      <c r="AB25" s="72">
        <f>IF($B$1="M",(VLOOKUP(N25,Tasas!$I$3:$K$55,2)*S25),(VLOOKUP(N25,Tasas!$I$3:$K$55,3)*S25))</f>
        <v>0</v>
      </c>
      <c r="AC25" s="72">
        <f>+T25*Tasas!$R$2</f>
        <v>0</v>
      </c>
      <c r="AD25" s="72">
        <f>U25*Tasas!$R$3</f>
        <v>0</v>
      </c>
      <c r="AE25" s="72">
        <f>+V25*Tasas!$R$4</f>
        <v>0</v>
      </c>
      <c r="AF25" s="72">
        <f>+W25*Tasas!$R$5</f>
        <v>0</v>
      </c>
      <c r="AG25" s="72">
        <v>0</v>
      </c>
      <c r="AH25" s="72">
        <f t="shared" si="1"/>
        <v>73770272.180000007</v>
      </c>
      <c r="AI25" s="72">
        <f t="shared" si="2"/>
        <v>44399228.180000007</v>
      </c>
      <c r="AJ25" s="72"/>
      <c r="AK25" s="60">
        <f t="shared" si="3"/>
        <v>91784512.5</v>
      </c>
      <c r="AL25" s="60">
        <f t="shared" si="4"/>
        <v>428327.72499999998</v>
      </c>
      <c r="AM25" s="60">
        <f t="shared" si="5"/>
        <v>0</v>
      </c>
      <c r="AN25" s="60">
        <f t="shared" si="6"/>
        <v>0</v>
      </c>
      <c r="AO25" s="60">
        <f t="shared" si="7"/>
        <v>0</v>
      </c>
      <c r="AP25" s="60">
        <f t="shared" si="8"/>
        <v>0</v>
      </c>
      <c r="AQ25" s="60">
        <f t="shared" si="9"/>
        <v>0</v>
      </c>
      <c r="AR25" s="60">
        <f t="shared" si="10"/>
        <v>0</v>
      </c>
      <c r="AS25" s="60">
        <f t="shared" si="11"/>
        <v>0</v>
      </c>
      <c r="AT25" s="130">
        <f t="shared" si="12"/>
        <v>92212840.224999994</v>
      </c>
    </row>
    <row r="26" spans="2:46">
      <c r="N26">
        <f t="shared" si="13"/>
        <v>74</v>
      </c>
      <c r="O26" s="1">
        <f t="shared" si="22"/>
        <v>2535000000</v>
      </c>
      <c r="P26" s="1">
        <f t="shared" si="14"/>
        <v>11830000</v>
      </c>
      <c r="Q26" s="1">
        <f t="shared" si="15"/>
        <v>0</v>
      </c>
      <c r="R26" s="1">
        <f t="shared" si="16"/>
        <v>0</v>
      </c>
      <c r="S26" s="1">
        <f t="shared" si="17"/>
        <v>0</v>
      </c>
      <c r="T26" s="1">
        <f t="shared" si="18"/>
        <v>0</v>
      </c>
      <c r="U26" s="1">
        <f t="shared" si="19"/>
        <v>0</v>
      </c>
      <c r="V26" s="1">
        <f t="shared" si="20"/>
        <v>0</v>
      </c>
      <c r="W26" s="1">
        <f t="shared" si="21"/>
        <v>0</v>
      </c>
      <c r="X26" s="72">
        <f>IF($B$1="M",(VLOOKUP(N26,Tasas!$A$3:$C$65,2)*O26),(VLOOKUP(N26,Tasas!$A$3:$C$65,3)*O26))</f>
        <v>84724770</v>
      </c>
      <c r="Y26" s="60">
        <f>IF($B$1="M",(VLOOKUP(N26,Tasas!$A$3:$C$65,2)*P26),(VLOOKUP(N26,Tasas!$A$3:$C$65,3)*P26))</f>
        <v>395382.26</v>
      </c>
      <c r="Z26" s="72">
        <f>IF($B$1="M",(VLOOKUP(N26,Tasas!$M$3:$O$55,2)*Q26),(VLOOKUP(N26,Tasas!$M$3:$O$55,3)*Q26))</f>
        <v>0</v>
      </c>
      <c r="AA26" s="72">
        <f>IF($B$1="M",(VLOOKUP(N26,Tasas!$E$3:$G$55,2)*R26),(VLOOKUP(N26,Tasas!$E$3:$G$55,3)*R26))</f>
        <v>0</v>
      </c>
      <c r="AB26" s="72">
        <f>IF($B$1="M",(VLOOKUP(N26,Tasas!$I$3:$K$55,2)*S26),(VLOOKUP(N26,Tasas!$I$3:$K$55,3)*S26))</f>
        <v>0</v>
      </c>
      <c r="AC26" s="72">
        <f>+T26*Tasas!$R$2</f>
        <v>0</v>
      </c>
      <c r="AD26" s="72">
        <f>U26*Tasas!$R$3</f>
        <v>0</v>
      </c>
      <c r="AE26" s="72">
        <f>+V26*Tasas!$R$4</f>
        <v>0</v>
      </c>
      <c r="AF26" s="72">
        <f>+W26*Tasas!$R$5</f>
        <v>0</v>
      </c>
      <c r="AG26" s="72">
        <v>0</v>
      </c>
      <c r="AH26" s="72">
        <f t="shared" si="1"/>
        <v>85120152.260000005</v>
      </c>
      <c r="AI26" s="72">
        <f t="shared" si="2"/>
        <v>51230244.260000005</v>
      </c>
      <c r="AJ26" s="72"/>
      <c r="AK26" s="60">
        <f t="shared" si="3"/>
        <v>105905962.5</v>
      </c>
      <c r="AL26" s="60">
        <f t="shared" si="4"/>
        <v>494227.82500000001</v>
      </c>
      <c r="AM26" s="60">
        <f t="shared" si="5"/>
        <v>0</v>
      </c>
      <c r="AN26" s="60">
        <f t="shared" si="6"/>
        <v>0</v>
      </c>
      <c r="AO26" s="60">
        <f t="shared" si="7"/>
        <v>0</v>
      </c>
      <c r="AP26" s="60">
        <f t="shared" si="8"/>
        <v>0</v>
      </c>
      <c r="AQ26" s="60">
        <f t="shared" si="9"/>
        <v>0</v>
      </c>
      <c r="AR26" s="60">
        <f t="shared" si="10"/>
        <v>0</v>
      </c>
      <c r="AS26" s="60">
        <f t="shared" si="11"/>
        <v>0</v>
      </c>
      <c r="AT26" s="130">
        <f t="shared" si="12"/>
        <v>106400190.325</v>
      </c>
    </row>
    <row r="27" spans="2:46">
      <c r="N27">
        <f t="shared" si="13"/>
        <v>75</v>
      </c>
      <c r="O27" s="1">
        <f t="shared" si="22"/>
        <v>2580000000</v>
      </c>
      <c r="P27" s="1">
        <f t="shared" si="14"/>
        <v>12040000</v>
      </c>
      <c r="Q27" s="1">
        <f t="shared" si="15"/>
        <v>0</v>
      </c>
      <c r="R27" s="1">
        <f t="shared" si="16"/>
        <v>0</v>
      </c>
      <c r="S27" s="1">
        <f t="shared" si="17"/>
        <v>0</v>
      </c>
      <c r="T27" s="1">
        <f t="shared" si="18"/>
        <v>0</v>
      </c>
      <c r="U27" s="1">
        <f t="shared" si="19"/>
        <v>0</v>
      </c>
      <c r="V27" s="1">
        <f t="shared" si="20"/>
        <v>0</v>
      </c>
      <c r="W27" s="1">
        <f t="shared" si="21"/>
        <v>0</v>
      </c>
      <c r="X27" s="72">
        <f>IF($B$1="M",(VLOOKUP(N27,Tasas!$A$3:$C$65,2)*O27),(VLOOKUP(N27,Tasas!$A$3:$C$65,3)*O27))</f>
        <v>98909460.000000015</v>
      </c>
      <c r="Y27" s="60">
        <f>IF($B$1="M",(VLOOKUP(N27,Tasas!$A$3:$C$65,2)*P27),(VLOOKUP(N27,Tasas!$A$3:$C$65,3)*P27))</f>
        <v>461577.48000000004</v>
      </c>
      <c r="Z27" s="72">
        <f>IF($B$1="M",(VLOOKUP(N27,Tasas!$M$3:$O$55,2)*Q27),(VLOOKUP(N27,Tasas!$M$3:$O$55,3)*Q27))</f>
        <v>0</v>
      </c>
      <c r="AA27" s="72">
        <f>IF($B$1="M",(VLOOKUP(N27,Tasas!$E$3:$G$55,2)*R27),(VLOOKUP(N27,Tasas!$E$3:$G$55,3)*R27))</f>
        <v>0</v>
      </c>
      <c r="AB27" s="72">
        <f>IF($B$1="M",(VLOOKUP(N27,Tasas!$I$3:$K$55,2)*S27),(VLOOKUP(N27,Tasas!$I$3:$K$55,3)*S27))</f>
        <v>0</v>
      </c>
      <c r="AC27" s="72">
        <f>+T27*Tasas!$R$2</f>
        <v>0</v>
      </c>
      <c r="AD27" s="72">
        <f>U27*Tasas!$R$3</f>
        <v>0</v>
      </c>
      <c r="AE27" s="72">
        <f>+V27*Tasas!$R$4</f>
        <v>0</v>
      </c>
      <c r="AF27" s="72">
        <f>+W27*Tasas!$R$5</f>
        <v>0</v>
      </c>
      <c r="AG27" s="72">
        <v>0</v>
      </c>
      <c r="AH27" s="72">
        <f t="shared" si="1"/>
        <v>99371037.480000019</v>
      </c>
      <c r="AI27" s="72">
        <f t="shared" si="2"/>
        <v>59807253.480000012</v>
      </c>
      <c r="AJ27" s="72"/>
      <c r="AK27" s="60">
        <f t="shared" si="3"/>
        <v>123636825.00000001</v>
      </c>
      <c r="AL27" s="60">
        <f t="shared" si="4"/>
        <v>576971.85000000009</v>
      </c>
      <c r="AM27" s="60">
        <f t="shared" si="5"/>
        <v>0</v>
      </c>
      <c r="AN27" s="60">
        <f t="shared" si="6"/>
        <v>0</v>
      </c>
      <c r="AO27" s="60">
        <f t="shared" si="7"/>
        <v>0</v>
      </c>
      <c r="AP27" s="60">
        <f t="shared" si="8"/>
        <v>0</v>
      </c>
      <c r="AQ27" s="60">
        <f t="shared" si="9"/>
        <v>0</v>
      </c>
      <c r="AR27" s="60">
        <f t="shared" si="10"/>
        <v>0</v>
      </c>
      <c r="AS27" s="60">
        <f t="shared" si="11"/>
        <v>0</v>
      </c>
      <c r="AT27" s="130">
        <f t="shared" si="12"/>
        <v>124213796.85000001</v>
      </c>
    </row>
    <row r="28" spans="2:46">
      <c r="N28">
        <f t="shared" si="13"/>
        <v>76</v>
      </c>
      <c r="O28" s="1">
        <f t="shared" si="22"/>
        <v>2625000000</v>
      </c>
      <c r="P28" s="1">
        <f t="shared" si="14"/>
        <v>12250000</v>
      </c>
      <c r="Q28" s="1">
        <f t="shared" si="15"/>
        <v>0</v>
      </c>
      <c r="R28" s="1">
        <f t="shared" si="16"/>
        <v>0</v>
      </c>
      <c r="S28" s="1">
        <f t="shared" si="17"/>
        <v>0</v>
      </c>
      <c r="T28" s="1">
        <f t="shared" si="18"/>
        <v>0</v>
      </c>
      <c r="U28" s="1">
        <f t="shared" si="19"/>
        <v>0</v>
      </c>
      <c r="V28" s="1">
        <f t="shared" si="20"/>
        <v>0</v>
      </c>
      <c r="W28" s="1">
        <f t="shared" si="21"/>
        <v>0</v>
      </c>
      <c r="X28" s="72">
        <f>IF($B$1="M",(VLOOKUP(N28,Tasas!$A$3:$C$65,2)*O28),(VLOOKUP(N28,Tasas!$A$3:$C$65,3)*O28))</f>
        <v>116568375</v>
      </c>
      <c r="Y28" s="60">
        <f>IF($B$1="M",(VLOOKUP(N28,Tasas!$A$3:$C$65,2)*P28),(VLOOKUP(N28,Tasas!$A$3:$C$65,3)*P28))</f>
        <v>543985.75</v>
      </c>
      <c r="Z28" s="72">
        <f>IF($B$1="M",(VLOOKUP(N28,Tasas!$M$3:$O$55,2)*Q28),(VLOOKUP(N28,Tasas!$M$3:$O$55,3)*Q28))</f>
        <v>0</v>
      </c>
      <c r="AA28" s="72">
        <f>IF($B$1="M",(VLOOKUP(N28,Tasas!$E$3:$G$55,2)*R28),(VLOOKUP(N28,Tasas!$E$3:$G$55,3)*R28))</f>
        <v>0</v>
      </c>
      <c r="AB28" s="72">
        <f>IF($B$1="M",(VLOOKUP(N28,Tasas!$I$3:$K$55,2)*S28),(VLOOKUP(N28,Tasas!$I$3:$K$55,3)*S28))</f>
        <v>0</v>
      </c>
      <c r="AC28" s="72">
        <f>+T28*Tasas!$R$2</f>
        <v>0</v>
      </c>
      <c r="AD28" s="72">
        <f>U28*Tasas!$R$3</f>
        <v>0</v>
      </c>
      <c r="AE28" s="72">
        <f>+V28*Tasas!$R$4</f>
        <v>0</v>
      </c>
      <c r="AF28" s="72">
        <f>+W28*Tasas!$R$5</f>
        <v>0</v>
      </c>
      <c r="AG28" s="72">
        <v>0</v>
      </c>
      <c r="AH28" s="72">
        <f t="shared" si="1"/>
        <v>117112360.75</v>
      </c>
      <c r="AI28" s="72">
        <f t="shared" si="2"/>
        <v>70485010.75</v>
      </c>
      <c r="AJ28" s="72"/>
      <c r="AK28" s="60">
        <f t="shared" si="3"/>
        <v>145710468.75</v>
      </c>
      <c r="AL28" s="60">
        <f t="shared" si="4"/>
        <v>679982.1875</v>
      </c>
      <c r="AM28" s="60">
        <f t="shared" si="5"/>
        <v>0</v>
      </c>
      <c r="AN28" s="60">
        <f t="shared" si="6"/>
        <v>0</v>
      </c>
      <c r="AO28" s="60">
        <f t="shared" si="7"/>
        <v>0</v>
      </c>
      <c r="AP28" s="60">
        <f t="shared" si="8"/>
        <v>0</v>
      </c>
      <c r="AQ28" s="60">
        <f t="shared" si="9"/>
        <v>0</v>
      </c>
      <c r="AR28" s="60">
        <f t="shared" si="10"/>
        <v>0</v>
      </c>
      <c r="AS28" s="60">
        <f t="shared" si="11"/>
        <v>0</v>
      </c>
      <c r="AT28" s="130">
        <f t="shared" si="12"/>
        <v>146390450.9375</v>
      </c>
    </row>
    <row r="29" spans="2:46">
      <c r="N29">
        <f t="shared" si="13"/>
        <v>77</v>
      </c>
      <c r="O29" s="1">
        <f t="shared" si="22"/>
        <v>2670000000</v>
      </c>
      <c r="P29" s="1">
        <f t="shared" si="14"/>
        <v>12460000</v>
      </c>
      <c r="Q29" s="1">
        <f t="shared" si="15"/>
        <v>0</v>
      </c>
      <c r="R29" s="1">
        <f t="shared" si="16"/>
        <v>0</v>
      </c>
      <c r="S29" s="1">
        <f t="shared" si="17"/>
        <v>0</v>
      </c>
      <c r="T29" s="1">
        <f t="shared" si="18"/>
        <v>0</v>
      </c>
      <c r="U29" s="1">
        <f t="shared" si="19"/>
        <v>0</v>
      </c>
      <c r="V29" s="1">
        <f t="shared" si="20"/>
        <v>0</v>
      </c>
      <c r="W29" s="1">
        <f t="shared" si="21"/>
        <v>0</v>
      </c>
      <c r="X29" s="72">
        <f>IF($B$1="M",(VLOOKUP(N29,Tasas!$A$3:$C$65,2)*O29),(VLOOKUP(N29,Tasas!$A$3:$C$65,3)*O29))</f>
        <v>138297990</v>
      </c>
      <c r="Y29" s="60">
        <f>IF($B$1="M",(VLOOKUP(N29,Tasas!$A$3:$C$65,2)*P29),(VLOOKUP(N29,Tasas!$A$3:$C$65,3)*P29))</f>
        <v>645390.62</v>
      </c>
      <c r="Z29" s="72">
        <f>IF($B$1="M",(VLOOKUP(N29,Tasas!$M$3:$O$55,2)*Q29),(VLOOKUP(N29,Tasas!$M$3:$O$55,3)*Q29))</f>
        <v>0</v>
      </c>
      <c r="AA29" s="72">
        <f>IF($B$1="M",(VLOOKUP(N29,Tasas!$E$3:$G$55,2)*R29),(VLOOKUP(N29,Tasas!$E$3:$G$55,3)*R29))</f>
        <v>0</v>
      </c>
      <c r="AB29" s="72">
        <f>IF($B$1="M",(VLOOKUP(N29,Tasas!$I$3:$K$55,2)*S29),(VLOOKUP(N29,Tasas!$I$3:$K$55,3)*S29))</f>
        <v>0</v>
      </c>
      <c r="AC29" s="72">
        <f>+T29*Tasas!$R$2</f>
        <v>0</v>
      </c>
      <c r="AD29" s="72">
        <f>U29*Tasas!$R$3</f>
        <v>0</v>
      </c>
      <c r="AE29" s="72">
        <f>+V29*Tasas!$R$4</f>
        <v>0</v>
      </c>
      <c r="AF29" s="72">
        <f>+W29*Tasas!$R$5</f>
        <v>0</v>
      </c>
      <c r="AG29" s="72">
        <v>0</v>
      </c>
      <c r="AH29" s="72">
        <f t="shared" si="1"/>
        <v>138943380.62</v>
      </c>
      <c r="AI29" s="72">
        <f t="shared" si="2"/>
        <v>83624184.620000005</v>
      </c>
      <c r="AJ29" s="72"/>
      <c r="AK29" s="60">
        <f t="shared" si="3"/>
        <v>172872487.5</v>
      </c>
      <c r="AL29" s="60">
        <f t="shared" si="4"/>
        <v>806738.27500000002</v>
      </c>
      <c r="AM29" s="60">
        <f t="shared" si="5"/>
        <v>0</v>
      </c>
      <c r="AN29" s="60">
        <f t="shared" si="6"/>
        <v>0</v>
      </c>
      <c r="AO29" s="60">
        <f t="shared" si="7"/>
        <v>0</v>
      </c>
      <c r="AP29" s="60">
        <f t="shared" si="8"/>
        <v>0</v>
      </c>
      <c r="AQ29" s="60">
        <f t="shared" si="9"/>
        <v>0</v>
      </c>
      <c r="AR29" s="60">
        <f t="shared" si="10"/>
        <v>0</v>
      </c>
      <c r="AS29" s="60">
        <f t="shared" si="11"/>
        <v>0</v>
      </c>
      <c r="AT29" s="130">
        <f t="shared" si="12"/>
        <v>173679225.77500001</v>
      </c>
    </row>
    <row r="30" spans="2:46">
      <c r="N30">
        <f t="shared" si="13"/>
        <v>78</v>
      </c>
      <c r="O30" s="1">
        <f t="shared" si="22"/>
        <v>2715000000</v>
      </c>
      <c r="P30" s="1">
        <f t="shared" si="14"/>
        <v>12670000</v>
      </c>
      <c r="Q30" s="1">
        <f t="shared" si="15"/>
        <v>0</v>
      </c>
      <c r="R30" s="1">
        <f t="shared" si="16"/>
        <v>0</v>
      </c>
      <c r="S30" s="1">
        <f t="shared" si="17"/>
        <v>0</v>
      </c>
      <c r="T30" s="1">
        <f t="shared" si="18"/>
        <v>0</v>
      </c>
      <c r="U30" s="1">
        <f t="shared" si="19"/>
        <v>0</v>
      </c>
      <c r="V30" s="1">
        <f t="shared" si="20"/>
        <v>0</v>
      </c>
      <c r="W30" s="1">
        <f t="shared" si="21"/>
        <v>0</v>
      </c>
      <c r="X30" s="72">
        <f>IF($B$1="M",(VLOOKUP(N30,Tasas!$A$3:$C$65,2)*O30),(VLOOKUP(N30,Tasas!$A$3:$C$65,3)*O30))</f>
        <v>165484680</v>
      </c>
      <c r="Y30" s="60">
        <f>IF($B$1="M",(VLOOKUP(N30,Tasas!$A$3:$C$65,2)*P30),(VLOOKUP(N30,Tasas!$A$3:$C$65,3)*P30))</f>
        <v>772261.84</v>
      </c>
      <c r="Z30" s="72">
        <f>IF($B$1="M",(VLOOKUP(N30,Tasas!$M$3:$O$55,2)*Q30),(VLOOKUP(N30,Tasas!$M$3:$O$55,3)*Q30))</f>
        <v>0</v>
      </c>
      <c r="AA30" s="72">
        <f>IF($B$1="M",(VLOOKUP(N30,Tasas!$E$3:$G$55,2)*R30),(VLOOKUP(N30,Tasas!$E$3:$G$55,3)*R30))</f>
        <v>0</v>
      </c>
      <c r="AB30" s="72">
        <f>IF($B$1="M",(VLOOKUP(N30,Tasas!$I$3:$K$55,2)*S30),(VLOOKUP(N30,Tasas!$I$3:$K$55,3)*S30))</f>
        <v>0</v>
      </c>
      <c r="AC30" s="72">
        <f>+T30*Tasas!$R$2</f>
        <v>0</v>
      </c>
      <c r="AD30" s="72">
        <f>U30*Tasas!$R$3</f>
        <v>0</v>
      </c>
      <c r="AE30" s="72">
        <f>+V30*Tasas!$R$4</f>
        <v>0</v>
      </c>
      <c r="AF30" s="72">
        <f>+W30*Tasas!$R$5</f>
        <v>0</v>
      </c>
      <c r="AG30" s="72">
        <v>0</v>
      </c>
      <c r="AH30" s="72">
        <f t="shared" si="1"/>
        <v>166256941.84</v>
      </c>
      <c r="AI30" s="72">
        <f t="shared" si="2"/>
        <v>100063069.84</v>
      </c>
      <c r="AJ30" s="72"/>
      <c r="AK30" s="60">
        <f t="shared" si="3"/>
        <v>206855850</v>
      </c>
      <c r="AL30" s="60">
        <f t="shared" si="4"/>
        <v>965327.29999999993</v>
      </c>
      <c r="AM30" s="60">
        <f t="shared" si="5"/>
        <v>0</v>
      </c>
      <c r="AN30" s="60">
        <f t="shared" si="6"/>
        <v>0</v>
      </c>
      <c r="AO30" s="60">
        <f t="shared" si="7"/>
        <v>0</v>
      </c>
      <c r="AP30" s="60">
        <f t="shared" si="8"/>
        <v>0</v>
      </c>
      <c r="AQ30" s="60">
        <f t="shared" si="9"/>
        <v>0</v>
      </c>
      <c r="AR30" s="60">
        <f t="shared" si="10"/>
        <v>0</v>
      </c>
      <c r="AS30" s="60">
        <f t="shared" si="11"/>
        <v>0</v>
      </c>
      <c r="AT30" s="130">
        <f t="shared" si="12"/>
        <v>207821177.30000001</v>
      </c>
    </row>
    <row r="31" spans="2:46">
      <c r="N31">
        <f t="shared" si="13"/>
        <v>79</v>
      </c>
      <c r="O31" s="1">
        <f t="shared" si="22"/>
        <v>2760000000</v>
      </c>
      <c r="P31" s="1">
        <f t="shared" si="14"/>
        <v>12880000</v>
      </c>
      <c r="Q31" s="1">
        <f t="shared" si="15"/>
        <v>0</v>
      </c>
      <c r="R31" s="1">
        <f t="shared" si="16"/>
        <v>0</v>
      </c>
      <c r="S31" s="1">
        <f t="shared" si="17"/>
        <v>0</v>
      </c>
      <c r="T31" s="1">
        <f t="shared" si="18"/>
        <v>0</v>
      </c>
      <c r="U31" s="1">
        <f t="shared" si="19"/>
        <v>0</v>
      </c>
      <c r="V31" s="1">
        <f t="shared" si="20"/>
        <v>0</v>
      </c>
      <c r="W31" s="1">
        <f t="shared" si="21"/>
        <v>0</v>
      </c>
      <c r="X31" s="72">
        <f>IF($B$1="M",(VLOOKUP(N31,Tasas!$A$3:$C$65,2)*O31),(VLOOKUP(N31,Tasas!$A$3:$C$65,3)*O31))</f>
        <v>202371480</v>
      </c>
      <c r="Y31" s="60">
        <f>IF($B$1="M",(VLOOKUP(N31,Tasas!$A$3:$C$65,2)*P31),(VLOOKUP(N31,Tasas!$A$3:$C$65,3)*P31))</f>
        <v>944400.24</v>
      </c>
      <c r="Z31" s="72">
        <f>IF($B$1="M",(VLOOKUP(N31,Tasas!$M$3:$O$55,2)*Q31),(VLOOKUP(N31,Tasas!$M$3:$O$55,3)*Q31))</f>
        <v>0</v>
      </c>
      <c r="AA31" s="72">
        <f>IF($B$1="M",(VLOOKUP(N31,Tasas!$E$3:$G$55,2)*R31),(VLOOKUP(N31,Tasas!$E$3:$G$55,3)*R31))</f>
        <v>0</v>
      </c>
      <c r="AB31" s="72">
        <f>IF($B$1="M",(VLOOKUP(N31,Tasas!$I$3:$K$55,2)*S31),(VLOOKUP(N31,Tasas!$I$3:$K$55,3)*S31))</f>
        <v>0</v>
      </c>
      <c r="AC31" s="72">
        <f>+T31*Tasas!$R$2</f>
        <v>0</v>
      </c>
      <c r="AD31" s="72">
        <f>U31*Tasas!$R$3</f>
        <v>0</v>
      </c>
      <c r="AE31" s="72">
        <f>+V31*Tasas!$R$4</f>
        <v>0</v>
      </c>
      <c r="AF31" s="72">
        <f>+W31*Tasas!$R$5</f>
        <v>0</v>
      </c>
      <c r="AG31" s="72">
        <v>0</v>
      </c>
      <c r="AH31" s="72">
        <f t="shared" si="1"/>
        <v>203315880.24000001</v>
      </c>
      <c r="AI31" s="72">
        <f t="shared" si="2"/>
        <v>122367288.24000001</v>
      </c>
      <c r="AJ31" s="72"/>
      <c r="AK31" s="60">
        <f t="shared" si="3"/>
        <v>252964350</v>
      </c>
      <c r="AL31" s="60">
        <f t="shared" si="4"/>
        <v>1180500.3</v>
      </c>
      <c r="AM31" s="60">
        <f t="shared" si="5"/>
        <v>0</v>
      </c>
      <c r="AN31" s="60">
        <f t="shared" si="6"/>
        <v>0</v>
      </c>
      <c r="AO31" s="60">
        <f t="shared" si="7"/>
        <v>0</v>
      </c>
      <c r="AP31" s="60">
        <f t="shared" si="8"/>
        <v>0</v>
      </c>
      <c r="AQ31" s="60">
        <f t="shared" si="9"/>
        <v>0</v>
      </c>
      <c r="AR31" s="60">
        <f t="shared" si="10"/>
        <v>0</v>
      </c>
      <c r="AS31" s="60">
        <f t="shared" si="11"/>
        <v>0</v>
      </c>
      <c r="AT31" s="130">
        <f t="shared" si="12"/>
        <v>254144850.30000001</v>
      </c>
    </row>
    <row r="32" spans="2:46">
      <c r="N32">
        <f t="shared" si="13"/>
        <v>80</v>
      </c>
      <c r="O32" s="1">
        <f t="shared" si="22"/>
        <v>0</v>
      </c>
      <c r="P32" s="1">
        <f t="shared" si="14"/>
        <v>0</v>
      </c>
      <c r="Q32" s="1">
        <f t="shared" si="15"/>
        <v>0</v>
      </c>
      <c r="R32" s="1">
        <f t="shared" si="16"/>
        <v>0</v>
      </c>
      <c r="S32" s="1">
        <f t="shared" si="17"/>
        <v>0</v>
      </c>
      <c r="T32" s="1">
        <f t="shared" si="18"/>
        <v>0</v>
      </c>
      <c r="U32" s="1">
        <f t="shared" si="19"/>
        <v>0</v>
      </c>
      <c r="V32" s="1">
        <f t="shared" si="20"/>
        <v>0</v>
      </c>
      <c r="W32" s="1">
        <f t="shared" si="21"/>
        <v>0</v>
      </c>
      <c r="X32" s="72">
        <f>IF($B$1="M",(VLOOKUP(N32,Tasas!$A$3:$C$65,2)*O32),(VLOOKUP(N32,Tasas!$A$3:$C$65,3)*O32))</f>
        <v>0</v>
      </c>
      <c r="Y32" s="60">
        <f>IF($B$1="M",(VLOOKUP(N32,Tasas!$A$3:$C$65,2)*P32),(VLOOKUP(N32,Tasas!$A$3:$C$65,3)*P32))</f>
        <v>0</v>
      </c>
      <c r="Z32" s="72">
        <f>IF($B$1="M",(VLOOKUP(N32,Tasas!$M$3:$O$55,2)*Q32),(VLOOKUP(N32,Tasas!$M$3:$O$55,3)*Q32))</f>
        <v>0</v>
      </c>
      <c r="AA32" s="72">
        <f>IF($B$1="M",(VLOOKUP(N32,Tasas!$E$3:$G$55,2)*R32),(VLOOKUP(N32,Tasas!$E$3:$G$55,3)*R32))</f>
        <v>0</v>
      </c>
      <c r="AB32" s="72">
        <f>IF($B$1="M",(VLOOKUP(N32,Tasas!$I$3:$K$55,2)*S32),(VLOOKUP(N32,Tasas!$I$3:$K$55,3)*S32))</f>
        <v>0</v>
      </c>
      <c r="AC32" s="72">
        <f>+T32*Tasas!$R$2</f>
        <v>0</v>
      </c>
      <c r="AD32" s="72">
        <f>U32*Tasas!$R$3</f>
        <v>0</v>
      </c>
      <c r="AE32" s="72">
        <f>+V32*Tasas!$R$4</f>
        <v>0</v>
      </c>
      <c r="AF32" s="72">
        <f>+W32*Tasas!$R$5</f>
        <v>0</v>
      </c>
      <c r="AG32" s="72">
        <v>0</v>
      </c>
      <c r="AH32" s="72">
        <f t="shared" si="1"/>
        <v>0</v>
      </c>
      <c r="AI32" s="72">
        <f t="shared" si="2"/>
        <v>0</v>
      </c>
      <c r="AJ32" s="72"/>
      <c r="AK32" s="60">
        <f t="shared" si="3"/>
        <v>0</v>
      </c>
      <c r="AL32" s="60">
        <f t="shared" si="4"/>
        <v>0</v>
      </c>
      <c r="AM32" s="60">
        <f t="shared" si="5"/>
        <v>0</v>
      </c>
      <c r="AN32" s="60">
        <f t="shared" si="6"/>
        <v>0</v>
      </c>
      <c r="AO32" s="60">
        <f t="shared" si="7"/>
        <v>0</v>
      </c>
      <c r="AP32" s="60">
        <f t="shared" si="8"/>
        <v>0</v>
      </c>
      <c r="AQ32" s="60">
        <f t="shared" si="9"/>
        <v>0</v>
      </c>
      <c r="AR32" s="60">
        <f t="shared" si="10"/>
        <v>0</v>
      </c>
      <c r="AS32" s="60">
        <f t="shared" si="11"/>
        <v>0</v>
      </c>
      <c r="AT32" s="130">
        <f t="shared" si="12"/>
        <v>0</v>
      </c>
    </row>
    <row r="33" spans="14:46">
      <c r="N33">
        <f t="shared" si="13"/>
        <v>81</v>
      </c>
      <c r="O33" s="1">
        <f t="shared" si="22"/>
        <v>0</v>
      </c>
      <c r="P33" s="1">
        <f t="shared" si="14"/>
        <v>0</v>
      </c>
      <c r="Q33" s="1">
        <f t="shared" si="15"/>
        <v>0</v>
      </c>
      <c r="R33" s="1">
        <f t="shared" si="16"/>
        <v>0</v>
      </c>
      <c r="S33" s="1">
        <f t="shared" si="17"/>
        <v>0</v>
      </c>
      <c r="T33" s="1">
        <f t="shared" si="18"/>
        <v>0</v>
      </c>
      <c r="U33" s="1">
        <f t="shared" si="19"/>
        <v>0</v>
      </c>
      <c r="V33" s="1">
        <f t="shared" si="20"/>
        <v>0</v>
      </c>
      <c r="W33" s="1">
        <f t="shared" si="21"/>
        <v>0</v>
      </c>
      <c r="X33" s="72">
        <f>IF($B$1="M",(VLOOKUP(N33,Tasas!$A$3:$C$65,2)*O33),(VLOOKUP(N33,Tasas!$A$3:$C$65,3)*O33))</f>
        <v>0</v>
      </c>
      <c r="Y33" s="60">
        <f>IF($B$1="M",(VLOOKUP(N33,Tasas!$A$3:$C$65,2)*P33),(VLOOKUP(N33,Tasas!$A$3:$C$65,3)*P33))</f>
        <v>0</v>
      </c>
      <c r="Z33" s="72">
        <f>IF($B$1="M",(VLOOKUP(N33,Tasas!$M$3:$O$55,2)*Q33),(VLOOKUP(N33,Tasas!$M$3:$O$55,3)*Q33))</f>
        <v>0</v>
      </c>
      <c r="AA33" s="72">
        <f>IF($B$1="M",(VLOOKUP(N33,Tasas!$E$3:$G$55,2)*R33),(VLOOKUP(N33,Tasas!$E$3:$G$55,3)*R33))</f>
        <v>0</v>
      </c>
      <c r="AB33" s="72">
        <f>IF($B$1="M",(VLOOKUP(N33,Tasas!$I$3:$K$55,2)*S33),(VLOOKUP(N33,Tasas!$I$3:$K$55,3)*S33))</f>
        <v>0</v>
      </c>
      <c r="AC33" s="72">
        <f>+T33*Tasas!$R$2</f>
        <v>0</v>
      </c>
      <c r="AD33" s="72">
        <f>U33*Tasas!$R$3</f>
        <v>0</v>
      </c>
      <c r="AE33" s="72">
        <f>+V33*Tasas!$R$4</f>
        <v>0</v>
      </c>
      <c r="AF33" s="72">
        <f>+W33*Tasas!$R$5</f>
        <v>0</v>
      </c>
      <c r="AG33" s="72">
        <v>0</v>
      </c>
      <c r="AH33" s="72">
        <f t="shared" si="1"/>
        <v>0</v>
      </c>
      <c r="AI33" s="72">
        <f t="shared" si="2"/>
        <v>0</v>
      </c>
      <c r="AJ33" s="72"/>
      <c r="AK33" s="60">
        <f t="shared" si="3"/>
        <v>0</v>
      </c>
      <c r="AL33" s="60">
        <f t="shared" si="4"/>
        <v>0</v>
      </c>
      <c r="AM33" s="60">
        <f t="shared" si="5"/>
        <v>0</v>
      </c>
      <c r="AN33" s="60">
        <f t="shared" si="6"/>
        <v>0</v>
      </c>
      <c r="AO33" s="60">
        <f t="shared" si="7"/>
        <v>0</v>
      </c>
      <c r="AP33" s="60">
        <f t="shared" si="8"/>
        <v>0</v>
      </c>
      <c r="AQ33" s="60">
        <f t="shared" si="9"/>
        <v>0</v>
      </c>
      <c r="AR33" s="60">
        <f t="shared" si="10"/>
        <v>0</v>
      </c>
      <c r="AS33" s="60">
        <f t="shared" si="11"/>
        <v>0</v>
      </c>
      <c r="AT33" s="130">
        <f t="shared" si="12"/>
        <v>0</v>
      </c>
    </row>
    <row r="34" spans="14:46">
      <c r="N34">
        <f t="shared" si="13"/>
        <v>82</v>
      </c>
      <c r="O34" s="1">
        <f t="shared" si="22"/>
        <v>0</v>
      </c>
      <c r="P34" s="1">
        <f t="shared" si="14"/>
        <v>0</v>
      </c>
      <c r="Q34" s="1">
        <f t="shared" si="15"/>
        <v>0</v>
      </c>
      <c r="R34" s="1">
        <f t="shared" si="16"/>
        <v>0</v>
      </c>
      <c r="S34" s="1">
        <f t="shared" si="17"/>
        <v>0</v>
      </c>
      <c r="T34" s="1">
        <f t="shared" si="18"/>
        <v>0</v>
      </c>
      <c r="U34" s="1">
        <f t="shared" si="19"/>
        <v>0</v>
      </c>
      <c r="V34" s="1">
        <f t="shared" si="20"/>
        <v>0</v>
      </c>
      <c r="W34" s="1">
        <f t="shared" si="21"/>
        <v>0</v>
      </c>
      <c r="X34" s="72">
        <f>IF($B$1="M",(VLOOKUP(N34,Tasas!$A$3:$C$65,2)*O34),(VLOOKUP(N34,Tasas!$A$3:$C$65,3)*O34))</f>
        <v>0</v>
      </c>
      <c r="Y34" s="60">
        <f>IF($B$1="M",(VLOOKUP(N34,Tasas!$A$3:$C$65,2)*P34),(VLOOKUP(N34,Tasas!$A$3:$C$65,3)*P34))</f>
        <v>0</v>
      </c>
      <c r="Z34" s="72">
        <f>IF($B$1="M",(VLOOKUP(N34,Tasas!$M$3:$O$55,2)*Q34),(VLOOKUP(N34,Tasas!$M$3:$O$55,3)*Q34))</f>
        <v>0</v>
      </c>
      <c r="AA34" s="72">
        <f>IF($B$1="M",(VLOOKUP(N34,Tasas!$E$3:$G$55,2)*R34),(VLOOKUP(N34,Tasas!$E$3:$G$55,3)*R34))</f>
        <v>0</v>
      </c>
      <c r="AB34" s="72">
        <f>IF($B$1="M",(VLOOKUP(N34,Tasas!$I$3:$K$55,2)*S34),(VLOOKUP(N34,Tasas!$I$3:$K$55,3)*S34))</f>
        <v>0</v>
      </c>
      <c r="AC34" s="72">
        <f>+T34*Tasas!$R$2</f>
        <v>0</v>
      </c>
      <c r="AD34" s="72">
        <f>U34*Tasas!$R$3</f>
        <v>0</v>
      </c>
      <c r="AE34" s="72">
        <f>+V34*Tasas!$R$4</f>
        <v>0</v>
      </c>
      <c r="AF34" s="72">
        <f>+W34*Tasas!$R$5</f>
        <v>0</v>
      </c>
      <c r="AG34" s="72">
        <v>0</v>
      </c>
      <c r="AH34" s="72">
        <f t="shared" si="1"/>
        <v>0</v>
      </c>
      <c r="AI34" s="72">
        <f t="shared" si="2"/>
        <v>0</v>
      </c>
      <c r="AJ34" s="72"/>
      <c r="AK34" s="60">
        <f t="shared" si="3"/>
        <v>0</v>
      </c>
      <c r="AL34" s="60">
        <f t="shared" si="4"/>
        <v>0</v>
      </c>
      <c r="AM34" s="60">
        <f t="shared" si="5"/>
        <v>0</v>
      </c>
      <c r="AN34" s="60">
        <f t="shared" si="6"/>
        <v>0</v>
      </c>
      <c r="AO34" s="60">
        <f t="shared" si="7"/>
        <v>0</v>
      </c>
      <c r="AP34" s="60">
        <f t="shared" si="8"/>
        <v>0</v>
      </c>
      <c r="AQ34" s="60">
        <f t="shared" si="9"/>
        <v>0</v>
      </c>
      <c r="AR34" s="60">
        <f t="shared" si="10"/>
        <v>0</v>
      </c>
      <c r="AS34" s="60">
        <f t="shared" si="11"/>
        <v>0</v>
      </c>
      <c r="AT34" s="130">
        <f t="shared" si="12"/>
        <v>0</v>
      </c>
    </row>
    <row r="35" spans="14:46">
      <c r="N35">
        <f t="shared" si="13"/>
        <v>83</v>
      </c>
      <c r="O35" s="1">
        <f t="shared" si="22"/>
        <v>0</v>
      </c>
      <c r="P35" s="1">
        <f t="shared" si="14"/>
        <v>0</v>
      </c>
      <c r="Q35" s="1">
        <f t="shared" si="15"/>
        <v>0</v>
      </c>
      <c r="R35" s="1">
        <f t="shared" si="16"/>
        <v>0</v>
      </c>
      <c r="S35" s="1">
        <f t="shared" si="17"/>
        <v>0</v>
      </c>
      <c r="T35" s="1">
        <f t="shared" si="18"/>
        <v>0</v>
      </c>
      <c r="U35" s="1">
        <f t="shared" si="19"/>
        <v>0</v>
      </c>
      <c r="V35" s="1">
        <f t="shared" si="20"/>
        <v>0</v>
      </c>
      <c r="W35" s="1">
        <f t="shared" si="21"/>
        <v>0</v>
      </c>
      <c r="X35" s="72">
        <f>IF($B$1="M",(VLOOKUP(N35,Tasas!$A$3:$C$65,2)*O35),(VLOOKUP(N35,Tasas!$A$3:$C$65,3)*O35))</f>
        <v>0</v>
      </c>
      <c r="Y35" s="60">
        <f>IF($B$1="M",(VLOOKUP(N35,Tasas!$A$3:$C$65,2)*P35),(VLOOKUP(N35,Tasas!$A$3:$C$65,3)*P35))</f>
        <v>0</v>
      </c>
      <c r="Z35" s="72">
        <f>IF($B$1="M",(VLOOKUP(N35,Tasas!$M$3:$O$55,2)*Q35),(VLOOKUP(N35,Tasas!$M$3:$O$55,3)*Q35))</f>
        <v>0</v>
      </c>
      <c r="AA35" s="72">
        <f>IF($B$1="M",(VLOOKUP(N35,Tasas!$E$3:$G$55,2)*R35),(VLOOKUP(N35,Tasas!$E$3:$G$55,3)*R35))</f>
        <v>0</v>
      </c>
      <c r="AB35" s="72">
        <f>IF($B$1="M",(VLOOKUP(N35,Tasas!$I$3:$K$55,2)*S35),(VLOOKUP(N35,Tasas!$I$3:$K$55,3)*S35))</f>
        <v>0</v>
      </c>
      <c r="AC35" s="72">
        <f>+T35*Tasas!$R$2</f>
        <v>0</v>
      </c>
      <c r="AD35" s="72">
        <f>U35*Tasas!$R$3</f>
        <v>0</v>
      </c>
      <c r="AE35" s="72">
        <f>+V35*Tasas!$R$4</f>
        <v>0</v>
      </c>
      <c r="AF35" s="72">
        <f>+W35*Tasas!$R$5</f>
        <v>0</v>
      </c>
      <c r="AG35" s="72">
        <v>0</v>
      </c>
      <c r="AH35" s="72">
        <f t="shared" si="1"/>
        <v>0</v>
      </c>
      <c r="AI35" s="72">
        <f t="shared" si="2"/>
        <v>0</v>
      </c>
      <c r="AJ35" s="72"/>
      <c r="AK35" s="60">
        <f t="shared" si="3"/>
        <v>0</v>
      </c>
      <c r="AL35" s="60">
        <f t="shared" si="4"/>
        <v>0</v>
      </c>
      <c r="AM35" s="60">
        <f t="shared" si="5"/>
        <v>0</v>
      </c>
      <c r="AN35" s="60">
        <f t="shared" si="6"/>
        <v>0</v>
      </c>
      <c r="AO35" s="60">
        <f t="shared" si="7"/>
        <v>0</v>
      </c>
      <c r="AP35" s="60">
        <f t="shared" si="8"/>
        <v>0</v>
      </c>
      <c r="AQ35" s="60">
        <f t="shared" si="9"/>
        <v>0</v>
      </c>
      <c r="AR35" s="60">
        <f t="shared" si="10"/>
        <v>0</v>
      </c>
      <c r="AS35" s="60">
        <f t="shared" si="11"/>
        <v>0</v>
      </c>
      <c r="AT35" s="130">
        <f t="shared" si="12"/>
        <v>0</v>
      </c>
    </row>
    <row r="36" spans="14:46">
      <c r="N36">
        <f t="shared" si="13"/>
        <v>84</v>
      </c>
      <c r="O36" s="1">
        <f t="shared" si="22"/>
        <v>0</v>
      </c>
      <c r="P36" s="1">
        <f t="shared" si="14"/>
        <v>0</v>
      </c>
      <c r="Q36" s="1">
        <f t="shared" si="15"/>
        <v>0</v>
      </c>
      <c r="R36" s="1">
        <f t="shared" si="16"/>
        <v>0</v>
      </c>
      <c r="S36" s="1">
        <f t="shared" si="17"/>
        <v>0</v>
      </c>
      <c r="T36" s="1">
        <f t="shared" si="18"/>
        <v>0</v>
      </c>
      <c r="U36" s="1">
        <f t="shared" si="19"/>
        <v>0</v>
      </c>
      <c r="V36" s="1">
        <f t="shared" si="20"/>
        <v>0</v>
      </c>
      <c r="W36" s="1">
        <f t="shared" si="21"/>
        <v>0</v>
      </c>
      <c r="X36" s="72">
        <f>IF($B$1="M",(VLOOKUP(N36,Tasas!$A$3:$C$65,2)*O36),(VLOOKUP(N36,Tasas!$A$3:$C$65,3)*O36))</f>
        <v>0</v>
      </c>
      <c r="Y36" s="60">
        <f>IF($B$1="M",(VLOOKUP(N36,Tasas!$A$3:$C$65,2)*P36),(VLOOKUP(N36,Tasas!$A$3:$C$65,3)*P36))</f>
        <v>0</v>
      </c>
      <c r="Z36" s="72">
        <f>IF($B$1="M",(VLOOKUP(N36,Tasas!$M$3:$O$55,2)*Q36),(VLOOKUP(N36,Tasas!$M$3:$O$55,3)*Q36))</f>
        <v>0</v>
      </c>
      <c r="AA36" s="72">
        <f>IF($B$1="M",(VLOOKUP(N36,Tasas!$E$3:$G$55,2)*R36),(VLOOKUP(N36,Tasas!$E$3:$G$55,3)*R36))</f>
        <v>0</v>
      </c>
      <c r="AB36" s="72">
        <f>IF($B$1="M",(VLOOKUP(N36,Tasas!$I$3:$K$55,2)*S36),(VLOOKUP(N36,Tasas!$I$3:$K$55,3)*S36))</f>
        <v>0</v>
      </c>
      <c r="AC36" s="72">
        <f>+T36*Tasas!$R$2</f>
        <v>0</v>
      </c>
      <c r="AD36" s="72">
        <f>U36*Tasas!$R$3</f>
        <v>0</v>
      </c>
      <c r="AE36" s="72">
        <f>+V36*Tasas!$R$4</f>
        <v>0</v>
      </c>
      <c r="AF36" s="72">
        <f>+W36*Tasas!$R$5</f>
        <v>0</v>
      </c>
      <c r="AG36" s="72">
        <v>0</v>
      </c>
      <c r="AH36" s="72">
        <f t="shared" si="1"/>
        <v>0</v>
      </c>
      <c r="AI36" s="72">
        <f t="shared" si="2"/>
        <v>0</v>
      </c>
      <c r="AJ36" s="72"/>
      <c r="AK36" s="60">
        <f t="shared" si="3"/>
        <v>0</v>
      </c>
      <c r="AL36" s="60">
        <f t="shared" si="4"/>
        <v>0</v>
      </c>
      <c r="AM36" s="60">
        <f t="shared" si="5"/>
        <v>0</v>
      </c>
      <c r="AN36" s="60">
        <f t="shared" si="6"/>
        <v>0</v>
      </c>
      <c r="AO36" s="60">
        <f t="shared" si="7"/>
        <v>0</v>
      </c>
      <c r="AP36" s="60">
        <f t="shared" si="8"/>
        <v>0</v>
      </c>
      <c r="AQ36" s="60">
        <f t="shared" si="9"/>
        <v>0</v>
      </c>
      <c r="AR36" s="60">
        <f t="shared" si="10"/>
        <v>0</v>
      </c>
      <c r="AS36" s="60">
        <f t="shared" si="11"/>
        <v>0</v>
      </c>
      <c r="AT36" s="130">
        <f t="shared" si="12"/>
        <v>0</v>
      </c>
    </row>
    <row r="37" spans="14:46">
      <c r="N37">
        <f t="shared" si="13"/>
        <v>85</v>
      </c>
      <c r="O37" s="1">
        <f t="shared" si="22"/>
        <v>0</v>
      </c>
      <c r="P37" s="1">
        <f t="shared" si="14"/>
        <v>0</v>
      </c>
      <c r="Q37" s="1">
        <f t="shared" si="15"/>
        <v>0</v>
      </c>
      <c r="R37" s="1">
        <f t="shared" si="16"/>
        <v>0</v>
      </c>
      <c r="S37" s="1">
        <f t="shared" si="17"/>
        <v>0</v>
      </c>
      <c r="T37" s="1">
        <f t="shared" si="18"/>
        <v>0</v>
      </c>
      <c r="U37" s="1">
        <f t="shared" si="19"/>
        <v>0</v>
      </c>
      <c r="V37" s="1">
        <f t="shared" si="20"/>
        <v>0</v>
      </c>
      <c r="W37" s="1">
        <f t="shared" si="21"/>
        <v>0</v>
      </c>
      <c r="X37" s="72">
        <f>IF($B$1="M",(VLOOKUP(N37,Tasas!$A$3:$C$65,2)*O37),(VLOOKUP(N37,Tasas!$A$3:$C$65,3)*O37))</f>
        <v>0</v>
      </c>
      <c r="Y37" s="60">
        <f>IF($B$1="M",(VLOOKUP(N37,Tasas!$A$3:$C$65,2)*P37),(VLOOKUP(N37,Tasas!$A$3:$C$65,3)*P37))</f>
        <v>0</v>
      </c>
      <c r="Z37" s="72">
        <f>IF($B$1="M",(VLOOKUP(N37,Tasas!$M$3:$O$55,2)*Q37),(VLOOKUP(N37,Tasas!$M$3:$O$55,3)*Q37))</f>
        <v>0</v>
      </c>
      <c r="AA37" s="72">
        <f>IF($B$1="M",(VLOOKUP(N37,Tasas!$E$3:$G$55,2)*R37),(VLOOKUP(N37,Tasas!$E$3:$G$55,3)*R37))</f>
        <v>0</v>
      </c>
      <c r="AB37" s="72">
        <f>IF($B$1="M",(VLOOKUP(N37,Tasas!$I$3:$K$55,2)*S37),(VLOOKUP(N37,Tasas!$I$3:$K$55,3)*S37))</f>
        <v>0</v>
      </c>
      <c r="AC37" s="72">
        <f>+T37*Tasas!$R$2</f>
        <v>0</v>
      </c>
      <c r="AD37" s="72">
        <f>U37*Tasas!$R$3</f>
        <v>0</v>
      </c>
      <c r="AE37" s="72">
        <f>+V37*Tasas!$R$4</f>
        <v>0</v>
      </c>
      <c r="AF37" s="72">
        <f>+W37*Tasas!$R$5</f>
        <v>0</v>
      </c>
      <c r="AG37" s="72">
        <v>0</v>
      </c>
      <c r="AH37" s="72">
        <f t="shared" si="1"/>
        <v>0</v>
      </c>
      <c r="AI37" s="72">
        <f t="shared" si="2"/>
        <v>0</v>
      </c>
      <c r="AJ37" s="72"/>
      <c r="AK37" s="60">
        <f t="shared" si="3"/>
        <v>0</v>
      </c>
      <c r="AL37" s="60">
        <f t="shared" si="4"/>
        <v>0</v>
      </c>
      <c r="AM37" s="60">
        <f t="shared" si="5"/>
        <v>0</v>
      </c>
      <c r="AN37" s="60">
        <f t="shared" si="6"/>
        <v>0</v>
      </c>
      <c r="AO37" s="60">
        <f t="shared" si="7"/>
        <v>0</v>
      </c>
      <c r="AP37" s="60">
        <f t="shared" si="8"/>
        <v>0</v>
      </c>
      <c r="AQ37" s="60">
        <f t="shared" si="9"/>
        <v>0</v>
      </c>
      <c r="AR37" s="60">
        <f t="shared" si="10"/>
        <v>0</v>
      </c>
      <c r="AS37" s="60">
        <f t="shared" si="11"/>
        <v>0</v>
      </c>
      <c r="AT37" s="130">
        <f t="shared" si="12"/>
        <v>0</v>
      </c>
    </row>
    <row r="38" spans="14:46">
      <c r="N38">
        <f t="shared" si="13"/>
        <v>86</v>
      </c>
      <c r="O38" s="1">
        <f t="shared" si="22"/>
        <v>0</v>
      </c>
      <c r="P38" s="1">
        <f t="shared" si="14"/>
        <v>0</v>
      </c>
      <c r="Q38" s="1">
        <f t="shared" si="15"/>
        <v>0</v>
      </c>
      <c r="R38" s="1">
        <f t="shared" si="16"/>
        <v>0</v>
      </c>
      <c r="S38" s="1">
        <f t="shared" si="17"/>
        <v>0</v>
      </c>
      <c r="T38" s="1">
        <f t="shared" si="18"/>
        <v>0</v>
      </c>
      <c r="U38" s="1">
        <f t="shared" si="19"/>
        <v>0</v>
      </c>
      <c r="V38" s="1">
        <f t="shared" si="20"/>
        <v>0</v>
      </c>
      <c r="W38" s="1">
        <f t="shared" si="21"/>
        <v>0</v>
      </c>
      <c r="X38" s="72">
        <f>IF($B$1="M",(VLOOKUP(N38,Tasas!$A$3:$C$65,2)*O38),(VLOOKUP(N38,Tasas!$A$3:$C$65,3)*O38))</f>
        <v>0</v>
      </c>
      <c r="Y38" s="60">
        <f>IF($B$1="M",(VLOOKUP(N38,Tasas!$A$3:$C$65,2)*P38),(VLOOKUP(N38,Tasas!$A$3:$C$65,3)*P38))</f>
        <v>0</v>
      </c>
      <c r="Z38" s="72">
        <f>IF($B$1="M",(VLOOKUP(N38,Tasas!$M$3:$O$55,2)*Q38),(VLOOKUP(N38,Tasas!$M$3:$O$55,3)*Q38))</f>
        <v>0</v>
      </c>
      <c r="AA38" s="72">
        <f>IF($B$1="M",(VLOOKUP(N38,Tasas!$E$3:$G$55,2)*R38),(VLOOKUP(N38,Tasas!$E$3:$G$55,3)*R38))</f>
        <v>0</v>
      </c>
      <c r="AB38" s="72">
        <f>IF($B$1="M",(VLOOKUP(N38,Tasas!$I$3:$K$55,2)*S38),(VLOOKUP(N38,Tasas!$I$3:$K$55,3)*S38))</f>
        <v>0</v>
      </c>
      <c r="AC38" s="72">
        <f>+T38*Tasas!$R$2</f>
        <v>0</v>
      </c>
      <c r="AD38" s="72">
        <f>U38*Tasas!$R$3</f>
        <v>0</v>
      </c>
      <c r="AE38" s="72">
        <f>+V38*Tasas!$R$4</f>
        <v>0</v>
      </c>
      <c r="AF38" s="72">
        <f>+W38*Tasas!$R$5</f>
        <v>0</v>
      </c>
      <c r="AG38" s="72">
        <v>0</v>
      </c>
      <c r="AH38" s="72">
        <f t="shared" si="1"/>
        <v>0</v>
      </c>
      <c r="AI38" s="72">
        <f t="shared" si="2"/>
        <v>0</v>
      </c>
      <c r="AJ38" s="72"/>
      <c r="AK38" s="60">
        <f t="shared" si="3"/>
        <v>0</v>
      </c>
      <c r="AL38" s="60">
        <f t="shared" si="4"/>
        <v>0</v>
      </c>
      <c r="AM38" s="60">
        <f t="shared" si="5"/>
        <v>0</v>
      </c>
      <c r="AN38" s="60">
        <f t="shared" si="6"/>
        <v>0</v>
      </c>
      <c r="AO38" s="60">
        <f t="shared" si="7"/>
        <v>0</v>
      </c>
      <c r="AP38" s="60">
        <f t="shared" si="8"/>
        <v>0</v>
      </c>
      <c r="AQ38" s="60">
        <f t="shared" si="9"/>
        <v>0</v>
      </c>
      <c r="AR38" s="60">
        <f t="shared" si="10"/>
        <v>0</v>
      </c>
      <c r="AS38" s="60">
        <f t="shared" si="11"/>
        <v>0</v>
      </c>
      <c r="AT38" s="130">
        <f t="shared" si="12"/>
        <v>0</v>
      </c>
    </row>
    <row r="39" spans="14:46">
      <c r="N39">
        <f t="shared" si="13"/>
        <v>87</v>
      </c>
      <c r="O39" s="1">
        <f t="shared" si="22"/>
        <v>0</v>
      </c>
      <c r="P39" s="1">
        <f t="shared" si="14"/>
        <v>0</v>
      </c>
      <c r="Q39" s="1">
        <f t="shared" si="15"/>
        <v>0</v>
      </c>
      <c r="R39" s="1">
        <f t="shared" si="16"/>
        <v>0</v>
      </c>
      <c r="S39" s="1">
        <f t="shared" si="17"/>
        <v>0</v>
      </c>
      <c r="T39" s="1">
        <f t="shared" si="18"/>
        <v>0</v>
      </c>
      <c r="U39" s="1">
        <f t="shared" si="19"/>
        <v>0</v>
      </c>
      <c r="V39" s="1">
        <f t="shared" si="20"/>
        <v>0</v>
      </c>
      <c r="W39" s="1">
        <f t="shared" si="21"/>
        <v>0</v>
      </c>
      <c r="X39" s="72">
        <f>IF($B$1="M",(VLOOKUP(N39,Tasas!$A$3:$C$65,2)*O39),(VLOOKUP(N39,Tasas!$A$3:$C$65,3)*O39))</f>
        <v>0</v>
      </c>
      <c r="Y39" s="60">
        <f>IF($B$1="M",(VLOOKUP(N39,Tasas!$A$3:$C$65,2)*P39),(VLOOKUP(N39,Tasas!$A$3:$C$65,3)*P39))</f>
        <v>0</v>
      </c>
      <c r="Z39" s="72">
        <f>IF($B$1="M",(VLOOKUP(N39,Tasas!$M$3:$O$55,2)*Q39),(VLOOKUP(N39,Tasas!$M$3:$O$55,3)*Q39))</f>
        <v>0</v>
      </c>
      <c r="AA39" s="72">
        <f>IF($B$1="M",(VLOOKUP(N39,Tasas!$E$3:$G$55,2)*R39),(VLOOKUP(N39,Tasas!$E$3:$G$55,3)*R39))</f>
        <v>0</v>
      </c>
      <c r="AB39" s="72">
        <f>IF($B$1="M",(VLOOKUP(N39,Tasas!$I$3:$K$55,2)*S39),(VLOOKUP(N39,Tasas!$I$3:$K$55,3)*S39))</f>
        <v>0</v>
      </c>
      <c r="AC39" s="72">
        <f>+T39*Tasas!$R$2</f>
        <v>0</v>
      </c>
      <c r="AD39" s="72">
        <f>U39*Tasas!$R$3</f>
        <v>0</v>
      </c>
      <c r="AE39" s="72">
        <f>+V39*Tasas!$R$4</f>
        <v>0</v>
      </c>
      <c r="AF39" s="72">
        <f>+W39*Tasas!$R$5</f>
        <v>0</v>
      </c>
      <c r="AG39" s="72">
        <v>0</v>
      </c>
      <c r="AH39" s="72">
        <f t="shared" si="1"/>
        <v>0</v>
      </c>
      <c r="AI39" s="72">
        <f t="shared" si="2"/>
        <v>0</v>
      </c>
      <c r="AJ39" s="72"/>
      <c r="AK39" s="60">
        <f t="shared" si="3"/>
        <v>0</v>
      </c>
      <c r="AL39" s="60">
        <f t="shared" si="4"/>
        <v>0</v>
      </c>
      <c r="AM39" s="60">
        <f t="shared" si="5"/>
        <v>0</v>
      </c>
      <c r="AN39" s="60">
        <f t="shared" si="6"/>
        <v>0</v>
      </c>
      <c r="AO39" s="60">
        <f t="shared" si="7"/>
        <v>0</v>
      </c>
      <c r="AP39" s="60">
        <f t="shared" si="8"/>
        <v>0</v>
      </c>
      <c r="AQ39" s="60">
        <f t="shared" si="9"/>
        <v>0</v>
      </c>
      <c r="AR39" s="60">
        <f t="shared" si="10"/>
        <v>0</v>
      </c>
      <c r="AS39" s="60">
        <f t="shared" si="11"/>
        <v>0</v>
      </c>
      <c r="AT39" s="130">
        <f t="shared" si="12"/>
        <v>0</v>
      </c>
    </row>
    <row r="40" spans="14:46">
      <c r="N40">
        <f t="shared" si="13"/>
        <v>88</v>
      </c>
      <c r="O40" s="1">
        <f t="shared" si="22"/>
        <v>0</v>
      </c>
      <c r="P40" s="1">
        <f t="shared" si="14"/>
        <v>0</v>
      </c>
      <c r="Q40" s="1">
        <f t="shared" si="15"/>
        <v>0</v>
      </c>
      <c r="R40" s="1">
        <f t="shared" si="16"/>
        <v>0</v>
      </c>
      <c r="S40" s="1">
        <f t="shared" si="17"/>
        <v>0</v>
      </c>
      <c r="T40" s="1">
        <f t="shared" si="18"/>
        <v>0</v>
      </c>
      <c r="U40" s="1">
        <f t="shared" si="19"/>
        <v>0</v>
      </c>
      <c r="V40" s="1">
        <f t="shared" si="20"/>
        <v>0</v>
      </c>
      <c r="W40" s="1">
        <f t="shared" si="21"/>
        <v>0</v>
      </c>
      <c r="X40" s="72">
        <f>IF($B$1="M",(VLOOKUP(N40,Tasas!$A$3:$C$65,2)*O40),(VLOOKUP(N40,Tasas!$A$3:$C$65,3)*O40))</f>
        <v>0</v>
      </c>
      <c r="Y40" s="60">
        <f>IF($B$1="M",(VLOOKUP(N40,Tasas!$A$3:$C$65,2)*P40),(VLOOKUP(N40,Tasas!$A$3:$C$65,3)*P40))</f>
        <v>0</v>
      </c>
      <c r="Z40" s="72">
        <f>IF($B$1="M",(VLOOKUP(N40,Tasas!$M$3:$O$55,2)*Q40),(VLOOKUP(N40,Tasas!$M$3:$O$55,3)*Q40))</f>
        <v>0</v>
      </c>
      <c r="AA40" s="72">
        <f>IF($B$1="M",(VLOOKUP(N40,Tasas!$E$3:$G$55,2)*R40),(VLOOKUP(N40,Tasas!$E$3:$G$55,3)*R40))</f>
        <v>0</v>
      </c>
      <c r="AB40" s="72">
        <f>IF($B$1="M",(VLOOKUP(N40,Tasas!$I$3:$K$55,2)*S40),(VLOOKUP(N40,Tasas!$I$3:$K$55,3)*S40))</f>
        <v>0</v>
      </c>
      <c r="AC40" s="72">
        <f>+T40*Tasas!$R$2</f>
        <v>0</v>
      </c>
      <c r="AD40" s="72">
        <f>U40*Tasas!$R$3</f>
        <v>0</v>
      </c>
      <c r="AE40" s="72">
        <f>+V40*Tasas!$R$4</f>
        <v>0</v>
      </c>
      <c r="AF40" s="72">
        <f>+W40*Tasas!$R$5</f>
        <v>0</v>
      </c>
      <c r="AG40" s="72">
        <v>0</v>
      </c>
      <c r="AH40" s="72">
        <f t="shared" si="1"/>
        <v>0</v>
      </c>
      <c r="AI40" s="72">
        <f t="shared" si="2"/>
        <v>0</v>
      </c>
      <c r="AJ40" s="72"/>
      <c r="AK40" s="60">
        <f t="shared" si="3"/>
        <v>0</v>
      </c>
      <c r="AL40" s="60">
        <f t="shared" si="4"/>
        <v>0</v>
      </c>
      <c r="AM40" s="60">
        <f t="shared" si="5"/>
        <v>0</v>
      </c>
      <c r="AN40" s="60">
        <f t="shared" si="6"/>
        <v>0</v>
      </c>
      <c r="AO40" s="60">
        <f t="shared" si="7"/>
        <v>0</v>
      </c>
      <c r="AP40" s="60">
        <f t="shared" si="8"/>
        <v>0</v>
      </c>
      <c r="AQ40" s="60">
        <f t="shared" si="9"/>
        <v>0</v>
      </c>
      <c r="AR40" s="60">
        <f t="shared" si="10"/>
        <v>0</v>
      </c>
      <c r="AS40" s="60">
        <f t="shared" si="11"/>
        <v>0</v>
      </c>
      <c r="AT40" s="130">
        <f t="shared" si="12"/>
        <v>0</v>
      </c>
    </row>
    <row r="41" spans="14:46">
      <c r="N41">
        <f t="shared" si="13"/>
        <v>89</v>
      </c>
      <c r="O41" s="1">
        <f t="shared" si="22"/>
        <v>0</v>
      </c>
      <c r="P41" s="1">
        <f t="shared" si="14"/>
        <v>0</v>
      </c>
      <c r="Q41" s="1">
        <f t="shared" si="15"/>
        <v>0</v>
      </c>
      <c r="R41" s="1">
        <f t="shared" si="16"/>
        <v>0</v>
      </c>
      <c r="S41" s="1">
        <f t="shared" si="17"/>
        <v>0</v>
      </c>
      <c r="T41" s="1">
        <f t="shared" si="18"/>
        <v>0</v>
      </c>
      <c r="U41" s="1">
        <f t="shared" si="19"/>
        <v>0</v>
      </c>
      <c r="V41" s="1">
        <f t="shared" si="20"/>
        <v>0</v>
      </c>
      <c r="W41" s="1">
        <f t="shared" si="21"/>
        <v>0</v>
      </c>
      <c r="X41" s="72">
        <f>IF($B$1="M",(VLOOKUP(N41,Tasas!$A$3:$C$65,2)*O41),(VLOOKUP(N41,Tasas!$A$3:$C$65,3)*O41))</f>
        <v>0</v>
      </c>
      <c r="Y41" s="60">
        <f>IF($B$1="M",(VLOOKUP(N41,Tasas!$A$3:$C$65,2)*P41),(VLOOKUP(N41,Tasas!$A$3:$C$65,3)*P41))</f>
        <v>0</v>
      </c>
      <c r="Z41" s="72">
        <f>IF($B$1="M",(VLOOKUP(N41,Tasas!$M$3:$O$55,2)*Q41),(VLOOKUP(N41,Tasas!$M$3:$O$55,3)*Q41))</f>
        <v>0</v>
      </c>
      <c r="AA41" s="72">
        <f>IF($B$1="M",(VLOOKUP(N41,Tasas!$E$3:$G$55,2)*R41),(VLOOKUP(N41,Tasas!$E$3:$G$55,3)*R41))</f>
        <v>0</v>
      </c>
      <c r="AB41" s="72">
        <f>IF($B$1="M",(VLOOKUP(N41,Tasas!$I$3:$K$55,2)*S41),(VLOOKUP(N41,Tasas!$I$3:$K$55,3)*S41))</f>
        <v>0</v>
      </c>
      <c r="AC41" s="72">
        <f>+T41*Tasas!$R$2</f>
        <v>0</v>
      </c>
      <c r="AD41" s="72">
        <f>U41*Tasas!$R$3</f>
        <v>0</v>
      </c>
      <c r="AE41" s="72">
        <f>+V41*Tasas!$R$4</f>
        <v>0</v>
      </c>
      <c r="AF41" s="72">
        <f>+W41*Tasas!$R$5</f>
        <v>0</v>
      </c>
      <c r="AG41" s="72">
        <v>0</v>
      </c>
      <c r="AH41" s="72">
        <f t="shared" si="1"/>
        <v>0</v>
      </c>
      <c r="AI41" s="72">
        <f t="shared" si="2"/>
        <v>0</v>
      </c>
      <c r="AJ41" s="72"/>
      <c r="AK41" s="60">
        <f t="shared" si="3"/>
        <v>0</v>
      </c>
      <c r="AL41" s="60">
        <f t="shared" si="4"/>
        <v>0</v>
      </c>
      <c r="AM41" s="60">
        <f t="shared" si="5"/>
        <v>0</v>
      </c>
      <c r="AN41" s="60">
        <f t="shared" si="6"/>
        <v>0</v>
      </c>
      <c r="AO41" s="60">
        <f t="shared" si="7"/>
        <v>0</v>
      </c>
      <c r="AP41" s="60">
        <f t="shared" si="8"/>
        <v>0</v>
      </c>
      <c r="AQ41" s="60">
        <f t="shared" si="9"/>
        <v>0</v>
      </c>
      <c r="AR41" s="60">
        <f t="shared" si="10"/>
        <v>0</v>
      </c>
      <c r="AS41" s="60">
        <f t="shared" si="11"/>
        <v>0</v>
      </c>
      <c r="AT41" s="130">
        <f t="shared" si="12"/>
        <v>0</v>
      </c>
    </row>
    <row r="42" spans="14:46">
      <c r="N42">
        <f t="shared" si="13"/>
        <v>90</v>
      </c>
      <c r="O42" s="1">
        <f t="shared" si="22"/>
        <v>0</v>
      </c>
      <c r="P42" s="1">
        <f t="shared" si="14"/>
        <v>0</v>
      </c>
      <c r="Q42" s="1">
        <f t="shared" si="15"/>
        <v>0</v>
      </c>
      <c r="R42" s="1">
        <f t="shared" si="16"/>
        <v>0</v>
      </c>
      <c r="S42" s="1">
        <f t="shared" si="17"/>
        <v>0</v>
      </c>
      <c r="T42" s="1">
        <f t="shared" si="18"/>
        <v>0</v>
      </c>
      <c r="U42" s="1">
        <f t="shared" si="19"/>
        <v>0</v>
      </c>
      <c r="V42" s="1">
        <f t="shared" si="20"/>
        <v>0</v>
      </c>
      <c r="W42" s="1">
        <f t="shared" si="21"/>
        <v>0</v>
      </c>
      <c r="X42" s="72">
        <f>IF($B$1="M",(VLOOKUP(N42,Tasas!$A$3:$C$65,2)*O42),(VLOOKUP(N42,Tasas!$A$3:$C$65,3)*O42))</f>
        <v>0</v>
      </c>
      <c r="Y42" s="60">
        <f>IF($B$1="M",(VLOOKUP(N42,Tasas!$A$3:$C$65,2)*P42),(VLOOKUP(N42,Tasas!$A$3:$C$65,3)*P42))</f>
        <v>0</v>
      </c>
      <c r="Z42" s="72">
        <f>IF($B$1="M",(VLOOKUP(N42,Tasas!$M$3:$O$55,2)*Q42),(VLOOKUP(N42,Tasas!$M$3:$O$55,3)*Q42))</f>
        <v>0</v>
      </c>
      <c r="AA42" s="72">
        <f>IF($B$1="M",(VLOOKUP(N42,Tasas!$E$3:$G$55,2)*R42),(VLOOKUP(N42,Tasas!$E$3:$G$55,3)*R42))</f>
        <v>0</v>
      </c>
      <c r="AB42" s="72">
        <f>IF($B$1="M",(VLOOKUP(N42,Tasas!$I$3:$K$55,2)*S42),(VLOOKUP(N42,Tasas!$I$3:$K$55,3)*S42))</f>
        <v>0</v>
      </c>
      <c r="AC42" s="72">
        <f>+T42*Tasas!$R$2</f>
        <v>0</v>
      </c>
      <c r="AD42" s="72">
        <f>U42*Tasas!$R$3</f>
        <v>0</v>
      </c>
      <c r="AE42" s="72">
        <f>+V42*Tasas!$R$4</f>
        <v>0</v>
      </c>
      <c r="AF42" s="72">
        <f>+W42*Tasas!$R$5</f>
        <v>0</v>
      </c>
      <c r="AG42" s="72">
        <v>0</v>
      </c>
      <c r="AH42" s="72">
        <f t="shared" si="1"/>
        <v>0</v>
      </c>
      <c r="AI42" s="72">
        <f t="shared" si="2"/>
        <v>0</v>
      </c>
      <c r="AJ42" s="72"/>
      <c r="AK42" s="60">
        <f t="shared" si="3"/>
        <v>0</v>
      </c>
      <c r="AL42" s="60">
        <f t="shared" si="4"/>
        <v>0</v>
      </c>
      <c r="AM42" s="60">
        <f t="shared" si="5"/>
        <v>0</v>
      </c>
      <c r="AN42" s="60">
        <f t="shared" si="6"/>
        <v>0</v>
      </c>
      <c r="AO42" s="60">
        <f t="shared" si="7"/>
        <v>0</v>
      </c>
      <c r="AP42" s="60">
        <f t="shared" si="8"/>
        <v>0</v>
      </c>
      <c r="AQ42" s="60">
        <f t="shared" si="9"/>
        <v>0</v>
      </c>
      <c r="AR42" s="60">
        <f t="shared" si="10"/>
        <v>0</v>
      </c>
      <c r="AS42" s="60">
        <f t="shared" si="11"/>
        <v>0</v>
      </c>
      <c r="AT42" s="130">
        <f t="shared" si="12"/>
        <v>0</v>
      </c>
    </row>
    <row r="43" spans="14:46">
      <c r="N43">
        <f t="shared" si="13"/>
        <v>91</v>
      </c>
      <c r="O43" s="1">
        <f t="shared" si="22"/>
        <v>0</v>
      </c>
      <c r="P43" s="1">
        <f t="shared" si="14"/>
        <v>0</v>
      </c>
      <c r="Q43" s="1">
        <f t="shared" si="15"/>
        <v>0</v>
      </c>
      <c r="R43" s="1">
        <f t="shared" si="16"/>
        <v>0</v>
      </c>
      <c r="S43" s="1">
        <f t="shared" si="17"/>
        <v>0</v>
      </c>
      <c r="T43" s="1">
        <f t="shared" si="18"/>
        <v>0</v>
      </c>
      <c r="U43" s="1">
        <f t="shared" si="19"/>
        <v>0</v>
      </c>
      <c r="V43" s="1">
        <f t="shared" si="20"/>
        <v>0</v>
      </c>
      <c r="W43" s="1">
        <f t="shared" si="21"/>
        <v>0</v>
      </c>
      <c r="X43" s="72">
        <f>IF($B$1="M",(VLOOKUP(N43,Tasas!$A$3:$C$65,2)*O43),(VLOOKUP(N43,Tasas!$A$3:$C$65,3)*O43))</f>
        <v>0</v>
      </c>
      <c r="Y43" s="60">
        <f>IF($B$1="M",(VLOOKUP(N43,Tasas!$A$3:$C$65,2)*P43),(VLOOKUP(N43,Tasas!$A$3:$C$65,3)*P43))</f>
        <v>0</v>
      </c>
      <c r="Z43" s="72">
        <f>IF($B$1="M",(VLOOKUP(N43,Tasas!$M$3:$O$55,2)*Q43),(VLOOKUP(N43,Tasas!$M$3:$O$55,3)*Q43))</f>
        <v>0</v>
      </c>
      <c r="AA43" s="72">
        <f>IF($B$1="M",(VLOOKUP(N43,Tasas!$E$3:$G$55,2)*R43),(VLOOKUP(N43,Tasas!$E$3:$G$55,3)*R43))</f>
        <v>0</v>
      </c>
      <c r="AB43" s="72">
        <f>IF($B$1="M",(VLOOKUP(N43,Tasas!$I$3:$K$55,2)*S43),(VLOOKUP(N43,Tasas!$I$3:$K$55,3)*S43))</f>
        <v>0</v>
      </c>
      <c r="AC43" s="72">
        <f>+T43*Tasas!$R$2</f>
        <v>0</v>
      </c>
      <c r="AD43" s="72">
        <f>U43*Tasas!$R$3</f>
        <v>0</v>
      </c>
      <c r="AE43" s="72">
        <f>+V43*Tasas!$R$4</f>
        <v>0</v>
      </c>
      <c r="AF43" s="72">
        <f>+W43*Tasas!$R$5</f>
        <v>0</v>
      </c>
      <c r="AG43" s="72">
        <v>0</v>
      </c>
      <c r="AH43" s="72">
        <f t="shared" si="1"/>
        <v>0</v>
      </c>
      <c r="AI43" s="72">
        <f t="shared" si="2"/>
        <v>0</v>
      </c>
      <c r="AJ43" s="72"/>
      <c r="AK43" s="60">
        <f t="shared" si="3"/>
        <v>0</v>
      </c>
      <c r="AL43" s="60">
        <f t="shared" si="4"/>
        <v>0</v>
      </c>
      <c r="AM43" s="60">
        <f t="shared" si="5"/>
        <v>0</v>
      </c>
      <c r="AN43" s="60">
        <f t="shared" si="6"/>
        <v>0</v>
      </c>
      <c r="AO43" s="60">
        <f t="shared" si="7"/>
        <v>0</v>
      </c>
      <c r="AP43" s="60">
        <f t="shared" si="8"/>
        <v>0</v>
      </c>
      <c r="AQ43" s="60">
        <f t="shared" si="9"/>
        <v>0</v>
      </c>
      <c r="AR43" s="60">
        <f t="shared" si="10"/>
        <v>0</v>
      </c>
      <c r="AS43" s="60">
        <f t="shared" si="11"/>
        <v>0</v>
      </c>
      <c r="AT43" s="130">
        <f t="shared" si="12"/>
        <v>0</v>
      </c>
    </row>
    <row r="44" spans="14:46">
      <c r="N44">
        <f t="shared" si="13"/>
        <v>92</v>
      </c>
      <c r="O44" s="1">
        <f t="shared" si="22"/>
        <v>0</v>
      </c>
      <c r="P44" s="1">
        <f t="shared" si="14"/>
        <v>0</v>
      </c>
      <c r="Q44" s="1">
        <f t="shared" si="15"/>
        <v>0</v>
      </c>
      <c r="R44" s="1">
        <f t="shared" si="16"/>
        <v>0</v>
      </c>
      <c r="S44" s="1">
        <f t="shared" si="17"/>
        <v>0</v>
      </c>
      <c r="T44" s="1">
        <f t="shared" si="18"/>
        <v>0</v>
      </c>
      <c r="U44" s="1">
        <f t="shared" si="19"/>
        <v>0</v>
      </c>
      <c r="V44" s="1">
        <f t="shared" si="20"/>
        <v>0</v>
      </c>
      <c r="W44" s="1">
        <f t="shared" si="21"/>
        <v>0</v>
      </c>
      <c r="X44" s="72">
        <f>IF($B$1="M",(VLOOKUP(N44,Tasas!$A$3:$C$65,2)*O44),(VLOOKUP(N44,Tasas!$A$3:$C$65,3)*O44))</f>
        <v>0</v>
      </c>
      <c r="Y44" s="60">
        <f>IF($B$1="M",(VLOOKUP(N44,Tasas!$A$3:$C$65,2)*P44),(VLOOKUP(N44,Tasas!$A$3:$C$65,3)*P44))</f>
        <v>0</v>
      </c>
      <c r="Z44" s="72">
        <f>IF($B$1="M",(VLOOKUP(N44,Tasas!$M$3:$O$55,2)*Q44),(VLOOKUP(N44,Tasas!$M$3:$O$55,3)*Q44))</f>
        <v>0</v>
      </c>
      <c r="AA44" s="72">
        <f>IF($B$1="M",(VLOOKUP(N44,Tasas!$E$3:$G$55,2)*R44),(VLOOKUP(N44,Tasas!$E$3:$G$55,3)*R44))</f>
        <v>0</v>
      </c>
      <c r="AB44" s="72">
        <f>IF($B$1="M",(VLOOKUP(N44,Tasas!$I$3:$K$55,2)*S44),(VLOOKUP(N44,Tasas!$I$3:$K$55,3)*S44))</f>
        <v>0</v>
      </c>
      <c r="AC44" s="72">
        <f>+T44*Tasas!$R$2</f>
        <v>0</v>
      </c>
      <c r="AD44" s="72">
        <f>U44*Tasas!$R$3</f>
        <v>0</v>
      </c>
      <c r="AE44" s="72">
        <f>+V44*Tasas!$R$4</f>
        <v>0</v>
      </c>
      <c r="AF44" s="72">
        <f>+W44*Tasas!$R$5</f>
        <v>0</v>
      </c>
      <c r="AG44" s="72">
        <v>0</v>
      </c>
      <c r="AH44" s="72">
        <f t="shared" si="1"/>
        <v>0</v>
      </c>
      <c r="AI44" s="72">
        <f t="shared" si="2"/>
        <v>0</v>
      </c>
      <c r="AJ44" s="72"/>
      <c r="AK44" s="60">
        <f t="shared" si="3"/>
        <v>0</v>
      </c>
      <c r="AL44" s="60">
        <f t="shared" si="4"/>
        <v>0</v>
      </c>
      <c r="AM44" s="60">
        <f t="shared" si="5"/>
        <v>0</v>
      </c>
      <c r="AN44" s="60">
        <f t="shared" si="6"/>
        <v>0</v>
      </c>
      <c r="AO44" s="60">
        <f t="shared" si="7"/>
        <v>0</v>
      </c>
      <c r="AP44" s="60">
        <f t="shared" si="8"/>
        <v>0</v>
      </c>
      <c r="AQ44" s="60">
        <f t="shared" si="9"/>
        <v>0</v>
      </c>
      <c r="AR44" s="60">
        <f t="shared" si="10"/>
        <v>0</v>
      </c>
      <c r="AS44" s="60">
        <f t="shared" si="11"/>
        <v>0</v>
      </c>
      <c r="AT44" s="130">
        <f t="shared" si="12"/>
        <v>0</v>
      </c>
    </row>
    <row r="45" spans="14:46">
      <c r="N45">
        <f t="shared" si="13"/>
        <v>93</v>
      </c>
      <c r="O45" s="1">
        <f t="shared" si="22"/>
        <v>0</v>
      </c>
      <c r="P45" s="1">
        <f t="shared" si="14"/>
        <v>0</v>
      </c>
      <c r="Q45" s="1">
        <f t="shared" si="15"/>
        <v>0</v>
      </c>
      <c r="R45" s="1">
        <f t="shared" si="16"/>
        <v>0</v>
      </c>
      <c r="S45" s="1">
        <f t="shared" si="17"/>
        <v>0</v>
      </c>
      <c r="T45" s="1">
        <f t="shared" si="18"/>
        <v>0</v>
      </c>
      <c r="U45" s="1">
        <f t="shared" si="19"/>
        <v>0</v>
      </c>
      <c r="V45" s="1">
        <f t="shared" si="20"/>
        <v>0</v>
      </c>
      <c r="W45" s="1">
        <f t="shared" si="21"/>
        <v>0</v>
      </c>
      <c r="X45" s="72">
        <f>IF($B$1="M",(VLOOKUP(N45,Tasas!$A$3:$C$65,2)*O45),(VLOOKUP(N45,Tasas!$A$3:$C$65,3)*O45))</f>
        <v>0</v>
      </c>
      <c r="Y45" s="60">
        <f>IF($B$1="M",(VLOOKUP(N45,Tasas!$A$3:$C$65,2)*P45),(VLOOKUP(N45,Tasas!$A$3:$C$65,3)*P45))</f>
        <v>0</v>
      </c>
      <c r="Z45" s="72">
        <f>IF($B$1="M",(VLOOKUP(N45,Tasas!$M$3:$O$55,2)*Q45),(VLOOKUP(N45,Tasas!$M$3:$O$55,3)*Q45))</f>
        <v>0</v>
      </c>
      <c r="AA45" s="72">
        <f>IF($B$1="M",(VLOOKUP(N45,Tasas!$E$3:$G$55,2)*R45),(VLOOKUP(N45,Tasas!$E$3:$G$55,3)*R45))</f>
        <v>0</v>
      </c>
      <c r="AB45" s="72">
        <f>IF($B$1="M",(VLOOKUP(N45,Tasas!$I$3:$K$55,2)*S45),(VLOOKUP(N45,Tasas!$I$3:$K$55,3)*S45))</f>
        <v>0</v>
      </c>
      <c r="AC45" s="72">
        <f>+T45*Tasas!$R$2</f>
        <v>0</v>
      </c>
      <c r="AD45" s="72">
        <f>U45*Tasas!$R$3</f>
        <v>0</v>
      </c>
      <c r="AE45" s="72">
        <f>+V45*Tasas!$R$4</f>
        <v>0</v>
      </c>
      <c r="AF45" s="72">
        <f>+W45*Tasas!$R$5</f>
        <v>0</v>
      </c>
      <c r="AG45" s="72">
        <v>0</v>
      </c>
      <c r="AH45" s="72">
        <f t="shared" si="1"/>
        <v>0</v>
      </c>
      <c r="AI45" s="72">
        <f t="shared" si="2"/>
        <v>0</v>
      </c>
      <c r="AJ45" s="72"/>
      <c r="AK45" s="60">
        <f t="shared" si="3"/>
        <v>0</v>
      </c>
      <c r="AL45" s="60">
        <f t="shared" si="4"/>
        <v>0</v>
      </c>
      <c r="AM45" s="60">
        <f t="shared" si="5"/>
        <v>0</v>
      </c>
      <c r="AN45" s="60">
        <f t="shared" si="6"/>
        <v>0</v>
      </c>
      <c r="AO45" s="60">
        <f t="shared" si="7"/>
        <v>0</v>
      </c>
      <c r="AP45" s="60">
        <f t="shared" si="8"/>
        <v>0</v>
      </c>
      <c r="AQ45" s="60">
        <f t="shared" si="9"/>
        <v>0</v>
      </c>
      <c r="AR45" s="60">
        <f t="shared" si="10"/>
        <v>0</v>
      </c>
      <c r="AS45" s="60">
        <f t="shared" si="11"/>
        <v>0</v>
      </c>
      <c r="AT45" s="130">
        <f t="shared" si="12"/>
        <v>0</v>
      </c>
    </row>
    <row r="46" spans="14:46">
      <c r="N46">
        <f t="shared" si="13"/>
        <v>94</v>
      </c>
      <c r="O46" s="1">
        <f t="shared" si="22"/>
        <v>0</v>
      </c>
      <c r="P46" s="1">
        <f t="shared" si="14"/>
        <v>0</v>
      </c>
      <c r="Q46" s="1">
        <f t="shared" si="15"/>
        <v>0</v>
      </c>
      <c r="R46" s="1">
        <f t="shared" si="16"/>
        <v>0</v>
      </c>
      <c r="S46" s="1">
        <f t="shared" si="17"/>
        <v>0</v>
      </c>
      <c r="T46" s="1">
        <f t="shared" si="18"/>
        <v>0</v>
      </c>
      <c r="U46" s="1">
        <f t="shared" si="19"/>
        <v>0</v>
      </c>
      <c r="V46" s="1">
        <f t="shared" si="20"/>
        <v>0</v>
      </c>
      <c r="W46" s="1">
        <f t="shared" si="21"/>
        <v>0</v>
      </c>
      <c r="X46" s="72">
        <f>IF($B$1="M",(VLOOKUP(N46,Tasas!$A$3:$C$65,2)*O46),(VLOOKUP(N46,Tasas!$A$3:$C$65,3)*O46))</f>
        <v>0</v>
      </c>
      <c r="Y46" s="60">
        <f>IF($B$1="M",(VLOOKUP(N46,Tasas!$A$3:$C$65,2)*P46),(VLOOKUP(N46,Tasas!$A$3:$C$65,3)*P46))</f>
        <v>0</v>
      </c>
      <c r="Z46" s="72">
        <f>IF($B$1="M",(VLOOKUP(N46,Tasas!$M$3:$O$55,2)*Q46),(VLOOKUP(N46,Tasas!$M$3:$O$55,3)*Q46))</f>
        <v>0</v>
      </c>
      <c r="AA46" s="72">
        <f>IF($B$1="M",(VLOOKUP(N46,Tasas!$E$3:$G$55,2)*R46),(VLOOKUP(N46,Tasas!$E$3:$G$55,3)*R46))</f>
        <v>0</v>
      </c>
      <c r="AB46" s="72">
        <f>IF($B$1="M",(VLOOKUP(N46,Tasas!$I$3:$K$55,2)*S46),(VLOOKUP(N46,Tasas!$I$3:$K$55,3)*S46))</f>
        <v>0</v>
      </c>
      <c r="AC46" s="72">
        <f>+T46*Tasas!$R$2</f>
        <v>0</v>
      </c>
      <c r="AD46" s="72">
        <f>U46*Tasas!$R$3</f>
        <v>0</v>
      </c>
      <c r="AE46" s="72">
        <f>+V46*Tasas!$R$4</f>
        <v>0</v>
      </c>
      <c r="AF46" s="72">
        <f>+W46*Tasas!$R$5</f>
        <v>0</v>
      </c>
      <c r="AG46" s="72">
        <v>0</v>
      </c>
      <c r="AH46" s="72">
        <f t="shared" si="1"/>
        <v>0</v>
      </c>
      <c r="AI46" s="72">
        <f t="shared" si="2"/>
        <v>0</v>
      </c>
      <c r="AJ46" s="72"/>
      <c r="AK46" s="60">
        <f t="shared" si="3"/>
        <v>0</v>
      </c>
      <c r="AL46" s="60">
        <f t="shared" si="4"/>
        <v>0</v>
      </c>
      <c r="AM46" s="60">
        <f t="shared" si="5"/>
        <v>0</v>
      </c>
      <c r="AN46" s="60">
        <f t="shared" si="6"/>
        <v>0</v>
      </c>
      <c r="AO46" s="60">
        <f t="shared" si="7"/>
        <v>0</v>
      </c>
      <c r="AP46" s="60">
        <f t="shared" si="8"/>
        <v>0</v>
      </c>
      <c r="AQ46" s="60">
        <f t="shared" si="9"/>
        <v>0</v>
      </c>
      <c r="AR46" s="60">
        <f t="shared" si="10"/>
        <v>0</v>
      </c>
      <c r="AS46" s="60">
        <f t="shared" si="11"/>
        <v>0</v>
      </c>
      <c r="AT46" s="130">
        <f t="shared" si="12"/>
        <v>0</v>
      </c>
    </row>
    <row r="47" spans="14:46">
      <c r="N47">
        <f t="shared" si="13"/>
        <v>95</v>
      </c>
      <c r="O47" s="1">
        <f t="shared" si="22"/>
        <v>0</v>
      </c>
      <c r="P47" s="1">
        <f t="shared" si="14"/>
        <v>0</v>
      </c>
      <c r="Q47" s="1">
        <f t="shared" si="15"/>
        <v>0</v>
      </c>
      <c r="R47" s="1">
        <f t="shared" si="16"/>
        <v>0</v>
      </c>
      <c r="S47" s="1">
        <f t="shared" si="17"/>
        <v>0</v>
      </c>
      <c r="T47" s="1">
        <f t="shared" si="18"/>
        <v>0</v>
      </c>
      <c r="U47" s="1">
        <f t="shared" si="19"/>
        <v>0</v>
      </c>
      <c r="V47" s="1">
        <f t="shared" si="20"/>
        <v>0</v>
      </c>
      <c r="W47" s="1">
        <f t="shared" si="21"/>
        <v>0</v>
      </c>
      <c r="X47" s="72">
        <f>IF($B$1="M",(VLOOKUP(N47,Tasas!$A$3:$C$65,2)*O47),(VLOOKUP(N47,Tasas!$A$3:$C$65,3)*O47))</f>
        <v>0</v>
      </c>
      <c r="Y47" s="60">
        <f>IF($B$1="M",(VLOOKUP(N47,Tasas!$A$3:$C$65,2)*P47),(VLOOKUP(N47,Tasas!$A$3:$C$65,3)*P47))</f>
        <v>0</v>
      </c>
      <c r="Z47" s="72">
        <f>IF($B$1="M",(VLOOKUP(N47,Tasas!$M$3:$O$55,2)*Q47),(VLOOKUP(N47,Tasas!$M$3:$O$55,3)*Q47))</f>
        <v>0</v>
      </c>
      <c r="AA47" s="72">
        <f>IF($B$1="M",(VLOOKUP(N47,Tasas!$E$3:$G$55,2)*R47),(VLOOKUP(N47,Tasas!$E$3:$G$55,3)*R47))</f>
        <v>0</v>
      </c>
      <c r="AB47" s="72">
        <f>IF($B$1="M",(VLOOKUP(N47,Tasas!$I$3:$K$55,2)*S47),(VLOOKUP(N47,Tasas!$I$3:$K$55,3)*S47))</f>
        <v>0</v>
      </c>
      <c r="AC47" s="72">
        <f>+T47*Tasas!$R$2</f>
        <v>0</v>
      </c>
      <c r="AD47" s="72">
        <f>U47*Tasas!$R$3</f>
        <v>0</v>
      </c>
      <c r="AE47" s="72">
        <f>+V47*Tasas!$R$4</f>
        <v>0</v>
      </c>
      <c r="AF47" s="72">
        <f>+W47*Tasas!$R$5</f>
        <v>0</v>
      </c>
      <c r="AG47" s="72">
        <v>0</v>
      </c>
      <c r="AH47" s="72">
        <f t="shared" si="1"/>
        <v>0</v>
      </c>
      <c r="AI47" s="72">
        <f t="shared" si="2"/>
        <v>0</v>
      </c>
      <c r="AJ47" s="72"/>
      <c r="AK47" s="60">
        <f t="shared" si="3"/>
        <v>0</v>
      </c>
      <c r="AL47" s="60">
        <f t="shared" si="4"/>
        <v>0</v>
      </c>
      <c r="AM47" s="60">
        <f t="shared" si="5"/>
        <v>0</v>
      </c>
      <c r="AN47" s="60">
        <f t="shared" si="6"/>
        <v>0</v>
      </c>
      <c r="AO47" s="60">
        <f t="shared" si="7"/>
        <v>0</v>
      </c>
      <c r="AP47" s="60">
        <f t="shared" si="8"/>
        <v>0</v>
      </c>
      <c r="AQ47" s="60">
        <f t="shared" si="9"/>
        <v>0</v>
      </c>
      <c r="AR47" s="60">
        <f t="shared" si="10"/>
        <v>0</v>
      </c>
      <c r="AS47" s="60">
        <f t="shared" si="11"/>
        <v>0</v>
      </c>
      <c r="AT47" s="130">
        <f t="shared" si="12"/>
        <v>0</v>
      </c>
    </row>
    <row r="48" spans="14:46">
      <c r="N48">
        <f t="shared" si="13"/>
        <v>96</v>
      </c>
      <c r="O48" s="1">
        <f t="shared" si="22"/>
        <v>0</v>
      </c>
      <c r="P48" s="1">
        <f t="shared" si="14"/>
        <v>0</v>
      </c>
      <c r="Q48" s="1">
        <f t="shared" si="15"/>
        <v>0</v>
      </c>
      <c r="R48" s="1">
        <f t="shared" si="16"/>
        <v>0</v>
      </c>
      <c r="S48" s="1">
        <f t="shared" si="17"/>
        <v>0</v>
      </c>
      <c r="T48" s="1">
        <f t="shared" si="18"/>
        <v>0</v>
      </c>
      <c r="U48" s="1">
        <f t="shared" si="19"/>
        <v>0</v>
      </c>
      <c r="V48" s="1">
        <f t="shared" si="20"/>
        <v>0</v>
      </c>
      <c r="W48" s="1">
        <f t="shared" si="21"/>
        <v>0</v>
      </c>
      <c r="X48" s="72">
        <f>IF($B$1="M",(VLOOKUP(N48,Tasas!$A$3:$C$65,2)*O48),(VLOOKUP(N48,Tasas!$A$3:$C$65,3)*O48))</f>
        <v>0</v>
      </c>
      <c r="Y48" s="60">
        <f>IF($B$1="M",(VLOOKUP(N48,Tasas!$A$3:$C$65,2)*P48),(VLOOKUP(N48,Tasas!$A$3:$C$65,3)*P48))</f>
        <v>0</v>
      </c>
      <c r="Z48" s="72">
        <f>IF($B$1="M",(VLOOKUP(N48,Tasas!$M$3:$O$55,2)*Q48),(VLOOKUP(N48,Tasas!$M$3:$O$55,3)*Q48))</f>
        <v>0</v>
      </c>
      <c r="AA48" s="72">
        <f>IF($B$1="M",(VLOOKUP(N48,Tasas!$E$3:$G$55,2)*R48),(VLOOKUP(N48,Tasas!$E$3:$G$55,3)*R48))</f>
        <v>0</v>
      </c>
      <c r="AB48" s="72">
        <f>IF($B$1="M",(VLOOKUP(N48,Tasas!$I$3:$K$55,2)*S48),(VLOOKUP(N48,Tasas!$I$3:$K$55,3)*S48))</f>
        <v>0</v>
      </c>
      <c r="AC48" s="72">
        <f>+T48*Tasas!$R$2</f>
        <v>0</v>
      </c>
      <c r="AD48" s="72">
        <f>U48*Tasas!$R$3</f>
        <v>0</v>
      </c>
      <c r="AE48" s="72">
        <f>+V48*Tasas!$R$4</f>
        <v>0</v>
      </c>
      <c r="AF48" s="72">
        <f>+W48*Tasas!$R$5</f>
        <v>0</v>
      </c>
      <c r="AG48" s="72">
        <v>0</v>
      </c>
      <c r="AH48" s="72">
        <f t="shared" si="1"/>
        <v>0</v>
      </c>
      <c r="AI48" s="72">
        <f t="shared" si="2"/>
        <v>0</v>
      </c>
      <c r="AJ48" s="72"/>
      <c r="AK48" s="60">
        <f t="shared" si="3"/>
        <v>0</v>
      </c>
      <c r="AL48" s="60">
        <f t="shared" si="4"/>
        <v>0</v>
      </c>
      <c r="AM48" s="60">
        <f t="shared" si="5"/>
        <v>0</v>
      </c>
      <c r="AN48" s="60">
        <f t="shared" si="6"/>
        <v>0</v>
      </c>
      <c r="AO48" s="60">
        <f t="shared" si="7"/>
        <v>0</v>
      </c>
      <c r="AP48" s="60">
        <f t="shared" si="8"/>
        <v>0</v>
      </c>
      <c r="AQ48" s="60">
        <f t="shared" si="9"/>
        <v>0</v>
      </c>
      <c r="AR48" s="60">
        <f t="shared" si="10"/>
        <v>0</v>
      </c>
      <c r="AS48" s="60">
        <f t="shared" si="11"/>
        <v>0</v>
      </c>
      <c r="AT48" s="130">
        <f t="shared" si="12"/>
        <v>0</v>
      </c>
    </row>
    <row r="49" spans="14:46">
      <c r="N49">
        <f t="shared" si="13"/>
        <v>97</v>
      </c>
      <c r="O49" s="1">
        <f t="shared" si="22"/>
        <v>0</v>
      </c>
      <c r="P49" s="1">
        <f t="shared" si="14"/>
        <v>0</v>
      </c>
      <c r="Q49" s="1">
        <f t="shared" si="15"/>
        <v>0</v>
      </c>
      <c r="R49" s="1">
        <f t="shared" si="16"/>
        <v>0</v>
      </c>
      <c r="S49" s="1">
        <f t="shared" si="17"/>
        <v>0</v>
      </c>
      <c r="T49" s="1">
        <f t="shared" si="18"/>
        <v>0</v>
      </c>
      <c r="U49" s="1">
        <f t="shared" si="19"/>
        <v>0</v>
      </c>
      <c r="V49" s="1">
        <f t="shared" si="20"/>
        <v>0</v>
      </c>
      <c r="W49" s="1">
        <f t="shared" si="21"/>
        <v>0</v>
      </c>
      <c r="X49" s="72">
        <f>IF($B$1="M",(VLOOKUP(N49,Tasas!$A$3:$C$65,2)*O49),(VLOOKUP(N49,Tasas!$A$3:$C$65,3)*O49))</f>
        <v>0</v>
      </c>
      <c r="Y49" s="60">
        <f>IF($B$1="M",(VLOOKUP(N49,Tasas!$A$3:$C$65,2)*P49),(VLOOKUP(N49,Tasas!$A$3:$C$65,3)*P49))</f>
        <v>0</v>
      </c>
      <c r="Z49" s="72">
        <f>IF($B$1="M",(VLOOKUP(N49,Tasas!$M$3:$O$55,2)*Q49),(VLOOKUP(N49,Tasas!$M$3:$O$55,3)*Q49))</f>
        <v>0</v>
      </c>
      <c r="AA49" s="72">
        <f>IF($B$1="M",(VLOOKUP(N49,Tasas!$E$3:$G$55,2)*R49),(VLOOKUP(N49,Tasas!$E$3:$G$55,3)*R49))</f>
        <v>0</v>
      </c>
      <c r="AB49" s="72">
        <f>IF($B$1="M",(VLOOKUP(N49,Tasas!$I$3:$K$55,2)*S49),(VLOOKUP(N49,Tasas!$I$3:$K$55,3)*S49))</f>
        <v>0</v>
      </c>
      <c r="AC49" s="72">
        <f>+T49*Tasas!$R$2</f>
        <v>0</v>
      </c>
      <c r="AD49" s="72">
        <f>U49*Tasas!$R$3</f>
        <v>0</v>
      </c>
      <c r="AE49" s="72">
        <f>+V49*Tasas!$R$4</f>
        <v>0</v>
      </c>
      <c r="AF49" s="72">
        <f>+W49*Tasas!$R$5</f>
        <v>0</v>
      </c>
      <c r="AG49" s="72">
        <v>0</v>
      </c>
      <c r="AH49" s="72">
        <f t="shared" si="1"/>
        <v>0</v>
      </c>
      <c r="AI49" s="72">
        <f t="shared" si="2"/>
        <v>0</v>
      </c>
      <c r="AJ49" s="72"/>
      <c r="AK49" s="60">
        <f t="shared" si="3"/>
        <v>0</v>
      </c>
      <c r="AL49" s="60">
        <f t="shared" si="4"/>
        <v>0</v>
      </c>
      <c r="AM49" s="60">
        <f t="shared" si="5"/>
        <v>0</v>
      </c>
      <c r="AN49" s="60">
        <f t="shared" si="6"/>
        <v>0</v>
      </c>
      <c r="AO49" s="60">
        <f t="shared" si="7"/>
        <v>0</v>
      </c>
      <c r="AP49" s="60">
        <f t="shared" si="8"/>
        <v>0</v>
      </c>
      <c r="AQ49" s="60">
        <f t="shared" si="9"/>
        <v>0</v>
      </c>
      <c r="AR49" s="60">
        <f t="shared" si="10"/>
        <v>0</v>
      </c>
      <c r="AS49" s="60">
        <f t="shared" si="11"/>
        <v>0</v>
      </c>
      <c r="AT49" s="130">
        <f t="shared" si="12"/>
        <v>0</v>
      </c>
    </row>
    <row r="50" spans="14:46">
      <c r="N50">
        <f t="shared" si="13"/>
        <v>98</v>
      </c>
      <c r="O50" s="1">
        <f t="shared" si="22"/>
        <v>0</v>
      </c>
      <c r="P50" s="1">
        <f t="shared" si="14"/>
        <v>0</v>
      </c>
      <c r="Q50" s="1">
        <f t="shared" si="15"/>
        <v>0</v>
      </c>
      <c r="R50" s="1">
        <f t="shared" si="16"/>
        <v>0</v>
      </c>
      <c r="S50" s="1">
        <f t="shared" si="17"/>
        <v>0</v>
      </c>
      <c r="T50" s="1">
        <f t="shared" si="18"/>
        <v>0</v>
      </c>
      <c r="U50" s="1">
        <f t="shared" si="19"/>
        <v>0</v>
      </c>
      <c r="V50" s="1">
        <f t="shared" si="20"/>
        <v>0</v>
      </c>
      <c r="W50" s="1">
        <f t="shared" si="21"/>
        <v>0</v>
      </c>
      <c r="X50" s="72">
        <f>IF($B$1="M",(VLOOKUP(N50,Tasas!$A$3:$C$65,2)*O50),(VLOOKUP(N50,Tasas!$A$3:$C$65,3)*O50))</f>
        <v>0</v>
      </c>
      <c r="Y50" s="60">
        <f>IF($B$1="M",(VLOOKUP(N50,Tasas!$A$3:$C$65,2)*P50),(VLOOKUP(N50,Tasas!$A$3:$C$65,3)*P50))</f>
        <v>0</v>
      </c>
      <c r="Z50" s="72">
        <f>IF($B$1="M",(VLOOKUP(N50,Tasas!$M$3:$O$55,2)*Q50),(VLOOKUP(N50,Tasas!$M$3:$O$55,3)*Q50))</f>
        <v>0</v>
      </c>
      <c r="AA50" s="72">
        <f>IF($B$1="M",(VLOOKUP(N50,Tasas!$E$3:$G$55,2)*R50),(VLOOKUP(N50,Tasas!$E$3:$G$55,3)*R50))</f>
        <v>0</v>
      </c>
      <c r="AB50" s="72">
        <f>IF($B$1="M",(VLOOKUP(N50,Tasas!$I$3:$K$55,2)*S50),(VLOOKUP(N50,Tasas!$I$3:$K$55,3)*S50))</f>
        <v>0</v>
      </c>
      <c r="AC50" s="72">
        <f>+T50*Tasas!$R$2</f>
        <v>0</v>
      </c>
      <c r="AD50" s="72">
        <f>U50*Tasas!$R$3</f>
        <v>0</v>
      </c>
      <c r="AE50" s="72">
        <f>+V50*Tasas!$R$4</f>
        <v>0</v>
      </c>
      <c r="AF50" s="72">
        <f>+W50*Tasas!$R$5</f>
        <v>0</v>
      </c>
      <c r="AG50" s="72">
        <v>0</v>
      </c>
      <c r="AH50" s="72">
        <f t="shared" si="1"/>
        <v>0</v>
      </c>
      <c r="AI50" s="72">
        <f t="shared" si="2"/>
        <v>0</v>
      </c>
      <c r="AJ50" s="72"/>
      <c r="AK50" s="60">
        <f t="shared" si="3"/>
        <v>0</v>
      </c>
      <c r="AL50" s="60">
        <f t="shared" si="4"/>
        <v>0</v>
      </c>
      <c r="AM50" s="60">
        <f t="shared" si="5"/>
        <v>0</v>
      </c>
      <c r="AN50" s="60">
        <f t="shared" si="6"/>
        <v>0</v>
      </c>
      <c r="AO50" s="60">
        <f t="shared" si="7"/>
        <v>0</v>
      </c>
      <c r="AP50" s="60">
        <f t="shared" si="8"/>
        <v>0</v>
      </c>
      <c r="AQ50" s="60">
        <f t="shared" si="9"/>
        <v>0</v>
      </c>
      <c r="AR50" s="60">
        <f t="shared" si="10"/>
        <v>0</v>
      </c>
      <c r="AS50" s="60">
        <f t="shared" si="11"/>
        <v>0</v>
      </c>
      <c r="AT50" s="130">
        <f t="shared" si="12"/>
        <v>0</v>
      </c>
    </row>
    <row r="51" spans="14:46">
      <c r="N51">
        <f t="shared" si="13"/>
        <v>99</v>
      </c>
      <c r="O51" s="1">
        <f t="shared" si="22"/>
        <v>0</v>
      </c>
      <c r="P51" s="1">
        <f t="shared" si="14"/>
        <v>0</v>
      </c>
      <c r="Q51" s="1">
        <f t="shared" si="15"/>
        <v>0</v>
      </c>
      <c r="R51" s="1">
        <f t="shared" si="16"/>
        <v>0</v>
      </c>
      <c r="S51" s="1">
        <f t="shared" si="17"/>
        <v>0</v>
      </c>
      <c r="T51" s="1">
        <f t="shared" si="18"/>
        <v>0</v>
      </c>
      <c r="U51" s="1">
        <f t="shared" si="19"/>
        <v>0</v>
      </c>
      <c r="V51" s="1">
        <f t="shared" si="20"/>
        <v>0</v>
      </c>
      <c r="W51" s="1">
        <f t="shared" si="21"/>
        <v>0</v>
      </c>
      <c r="X51" s="72">
        <f>IF($B$1="M",(VLOOKUP(N51,Tasas!$A$3:$C$65,2)*O51),(VLOOKUP(N51,Tasas!$A$3:$C$65,3)*O51))</f>
        <v>0</v>
      </c>
      <c r="Y51" s="60">
        <f>IF($B$1="M",(VLOOKUP(N51,Tasas!$A$3:$C$65,2)*P51),(VLOOKUP(N51,Tasas!$A$3:$C$65,3)*P51))</f>
        <v>0</v>
      </c>
      <c r="Z51" s="72">
        <f>IF($B$1="M",(VLOOKUP(N51,Tasas!$M$3:$O$55,2)*Q51),(VLOOKUP(N51,Tasas!$M$3:$O$55,3)*Q51))</f>
        <v>0</v>
      </c>
      <c r="AA51" s="72">
        <f>IF($B$1="M",(VLOOKUP(N51,Tasas!$E$3:$G$55,2)*R51),(VLOOKUP(N51,Tasas!$E$3:$G$55,3)*R51))</f>
        <v>0</v>
      </c>
      <c r="AB51" s="72">
        <f>IF($B$1="M",(VLOOKUP(N51,Tasas!$I$3:$K$55,2)*S51),(VLOOKUP(N51,Tasas!$I$3:$K$55,3)*S51))</f>
        <v>0</v>
      </c>
      <c r="AC51" s="72">
        <f>+T51*Tasas!$R$2</f>
        <v>0</v>
      </c>
      <c r="AD51" s="72">
        <f>U51*Tasas!$R$3</f>
        <v>0</v>
      </c>
      <c r="AE51" s="72">
        <f>+V51*Tasas!$R$4</f>
        <v>0</v>
      </c>
      <c r="AF51" s="72">
        <f>+W51*Tasas!$R$5</f>
        <v>0</v>
      </c>
      <c r="AG51" s="72">
        <v>0</v>
      </c>
      <c r="AH51" s="72">
        <f t="shared" si="1"/>
        <v>0</v>
      </c>
      <c r="AI51" s="72">
        <f t="shared" si="2"/>
        <v>0</v>
      </c>
      <c r="AJ51" s="72"/>
      <c r="AK51" s="60">
        <f t="shared" si="3"/>
        <v>0</v>
      </c>
      <c r="AL51" s="60">
        <f t="shared" si="4"/>
        <v>0</v>
      </c>
      <c r="AM51" s="60">
        <f t="shared" si="5"/>
        <v>0</v>
      </c>
      <c r="AN51" s="60">
        <f t="shared" si="6"/>
        <v>0</v>
      </c>
      <c r="AO51" s="60">
        <f t="shared" si="7"/>
        <v>0</v>
      </c>
      <c r="AP51" s="60">
        <f t="shared" si="8"/>
        <v>0</v>
      </c>
      <c r="AQ51" s="60">
        <f t="shared" si="9"/>
        <v>0</v>
      </c>
      <c r="AR51" s="60">
        <f t="shared" si="10"/>
        <v>0</v>
      </c>
      <c r="AS51" s="60">
        <f t="shared" si="11"/>
        <v>0</v>
      </c>
      <c r="AT51" s="130">
        <f t="shared" si="12"/>
        <v>0</v>
      </c>
    </row>
    <row r="52" spans="14:46">
      <c r="N52">
        <f t="shared" si="13"/>
        <v>100</v>
      </c>
      <c r="O52" s="1">
        <f t="shared" si="22"/>
        <v>0</v>
      </c>
      <c r="P52" s="1">
        <f t="shared" si="14"/>
        <v>0</v>
      </c>
      <c r="Q52" s="1">
        <f t="shared" si="15"/>
        <v>0</v>
      </c>
      <c r="R52" s="1">
        <f t="shared" si="16"/>
        <v>0</v>
      </c>
      <c r="S52" s="1">
        <f t="shared" si="17"/>
        <v>0</v>
      </c>
      <c r="T52" s="1">
        <f t="shared" si="18"/>
        <v>0</v>
      </c>
      <c r="U52" s="1">
        <f t="shared" si="19"/>
        <v>0</v>
      </c>
      <c r="V52" s="1">
        <f t="shared" si="20"/>
        <v>0</v>
      </c>
      <c r="W52" s="1">
        <f t="shared" si="21"/>
        <v>0</v>
      </c>
      <c r="X52" s="72">
        <f>IF($B$1="M",(VLOOKUP(N52,Tasas!$A$3:$C$65,2)*O52),(VLOOKUP(N52,Tasas!$A$3:$C$65,3)*O52))</f>
        <v>0</v>
      </c>
      <c r="Y52" s="60">
        <f>IF($B$1="M",(VLOOKUP(N52,Tasas!$A$3:$C$65,2)*P52),(VLOOKUP(N52,Tasas!$A$3:$C$65,3)*P52))</f>
        <v>0</v>
      </c>
      <c r="Z52" s="72">
        <f>IF($B$1="M",(VLOOKUP(N52,Tasas!$M$3:$O$55,2)*Q52),(VLOOKUP(N52,Tasas!$M$3:$O$55,3)*Q52))</f>
        <v>0</v>
      </c>
      <c r="AA52" s="72">
        <f>IF($B$1="M",(VLOOKUP(N52,Tasas!$E$3:$G$55,2)*R52),(VLOOKUP(N52,Tasas!$E$3:$G$55,3)*R52))</f>
        <v>0</v>
      </c>
      <c r="AB52" s="72">
        <f>IF($B$1="M",(VLOOKUP(N52,Tasas!$I$3:$K$55,2)*S52),(VLOOKUP(N52,Tasas!$I$3:$K$55,3)*S52))</f>
        <v>0</v>
      </c>
      <c r="AC52" s="72">
        <f>+T52*Tasas!$R$2</f>
        <v>0</v>
      </c>
      <c r="AD52" s="72">
        <f>U52*Tasas!$R$3</f>
        <v>0</v>
      </c>
      <c r="AE52" s="72">
        <f>+V52*Tasas!$R$4</f>
        <v>0</v>
      </c>
      <c r="AF52" s="72">
        <f>+W52*Tasas!$R$5</f>
        <v>0</v>
      </c>
      <c r="AG52" s="72">
        <v>0</v>
      </c>
      <c r="AH52" s="72">
        <f t="shared" si="1"/>
        <v>0</v>
      </c>
      <c r="AI52" s="72">
        <f t="shared" si="2"/>
        <v>0</v>
      </c>
      <c r="AJ52" s="72"/>
      <c r="AK52" s="60">
        <f t="shared" si="3"/>
        <v>0</v>
      </c>
      <c r="AL52" s="60">
        <f t="shared" si="4"/>
        <v>0</v>
      </c>
      <c r="AM52" s="60">
        <f t="shared" si="5"/>
        <v>0</v>
      </c>
      <c r="AN52" s="60">
        <f t="shared" si="6"/>
        <v>0</v>
      </c>
      <c r="AO52" s="60">
        <f t="shared" si="7"/>
        <v>0</v>
      </c>
      <c r="AP52" s="60">
        <f t="shared" si="8"/>
        <v>0</v>
      </c>
      <c r="AQ52" s="60">
        <f t="shared" si="9"/>
        <v>0</v>
      </c>
      <c r="AR52" s="60">
        <f t="shared" si="10"/>
        <v>0</v>
      </c>
      <c r="AS52" s="60">
        <f t="shared" si="11"/>
        <v>0</v>
      </c>
      <c r="AT52" s="130">
        <f t="shared" si="12"/>
        <v>0</v>
      </c>
    </row>
    <row r="53" spans="14:46">
      <c r="N53">
        <f t="shared" si="13"/>
        <v>101</v>
      </c>
      <c r="O53" s="1">
        <f t="shared" si="22"/>
        <v>0</v>
      </c>
      <c r="P53" s="1">
        <f t="shared" si="14"/>
        <v>0</v>
      </c>
      <c r="Q53" s="1">
        <f t="shared" si="15"/>
        <v>0</v>
      </c>
      <c r="R53" s="1">
        <f t="shared" si="16"/>
        <v>0</v>
      </c>
      <c r="S53" s="1">
        <f t="shared" si="17"/>
        <v>0</v>
      </c>
      <c r="T53" s="1">
        <f t="shared" si="18"/>
        <v>0</v>
      </c>
      <c r="U53" s="1">
        <f t="shared" si="19"/>
        <v>0</v>
      </c>
      <c r="V53" s="1">
        <f t="shared" si="20"/>
        <v>0</v>
      </c>
      <c r="W53" s="1">
        <f t="shared" si="21"/>
        <v>0</v>
      </c>
      <c r="X53" s="72">
        <f>IF($B$1="M",(VLOOKUP(N53,Tasas!$A$3:$C$65,2)*O53),(VLOOKUP(N53,Tasas!$A$3:$C$65,3)*O53))</f>
        <v>0</v>
      </c>
      <c r="Y53" s="60">
        <f>IF($B$1="M",(VLOOKUP(N53,Tasas!$A$3:$C$65,2)*P53),(VLOOKUP(N53,Tasas!$A$3:$C$65,3)*P53))</f>
        <v>0</v>
      </c>
      <c r="Z53" s="72">
        <f>IF($B$1="M",(VLOOKUP(N53,Tasas!$M$3:$O$55,2)*Q53),(VLOOKUP(N53,Tasas!$M$3:$O$55,3)*Q53))</f>
        <v>0</v>
      </c>
      <c r="AA53" s="72">
        <f>IF($B$1="M",(VLOOKUP(N53,Tasas!$E$3:$G$55,2)*R53),(VLOOKUP(N53,Tasas!$E$3:$G$55,3)*R53))</f>
        <v>0</v>
      </c>
      <c r="AB53" s="72">
        <f>IF($B$1="M",(VLOOKUP(N53,Tasas!$I$3:$K$55,2)*S53),(VLOOKUP(N53,Tasas!$I$3:$K$55,3)*S53))</f>
        <v>0</v>
      </c>
      <c r="AC53" s="72">
        <f>+T53*Tasas!$R$2</f>
        <v>0</v>
      </c>
      <c r="AD53" s="72">
        <f>U53*Tasas!$R$3</f>
        <v>0</v>
      </c>
      <c r="AE53" s="72">
        <f>+V53*Tasas!$R$4</f>
        <v>0</v>
      </c>
      <c r="AF53" s="72">
        <f>+W53*Tasas!$R$5</f>
        <v>0</v>
      </c>
      <c r="AG53" s="72">
        <v>0</v>
      </c>
      <c r="AH53" s="72">
        <f t="shared" si="1"/>
        <v>0</v>
      </c>
      <c r="AI53" s="72">
        <f t="shared" si="2"/>
        <v>0</v>
      </c>
      <c r="AJ53" s="72"/>
      <c r="AK53" s="60">
        <f t="shared" si="3"/>
        <v>0</v>
      </c>
      <c r="AL53" s="60">
        <f t="shared" si="4"/>
        <v>0</v>
      </c>
      <c r="AM53" s="60">
        <f t="shared" si="5"/>
        <v>0</v>
      </c>
      <c r="AN53" s="60">
        <f t="shared" si="6"/>
        <v>0</v>
      </c>
      <c r="AO53" s="60">
        <f t="shared" si="7"/>
        <v>0</v>
      </c>
      <c r="AP53" s="60">
        <f t="shared" si="8"/>
        <v>0</v>
      </c>
      <c r="AQ53" s="60">
        <f t="shared" si="9"/>
        <v>0</v>
      </c>
      <c r="AR53" s="60">
        <f t="shared" si="10"/>
        <v>0</v>
      </c>
      <c r="AS53" s="60">
        <f t="shared" si="11"/>
        <v>0</v>
      </c>
      <c r="AT53" s="130">
        <f t="shared" si="12"/>
        <v>0</v>
      </c>
    </row>
    <row r="54" spans="14:46">
      <c r="N54">
        <f t="shared" si="13"/>
        <v>102</v>
      </c>
      <c r="O54" s="1">
        <f t="shared" si="22"/>
        <v>0</v>
      </c>
      <c r="P54" s="1">
        <f t="shared" si="14"/>
        <v>0</v>
      </c>
      <c r="Q54" s="1">
        <f t="shared" si="15"/>
        <v>0</v>
      </c>
      <c r="R54" s="1">
        <f t="shared" si="16"/>
        <v>0</v>
      </c>
      <c r="S54" s="1">
        <f t="shared" si="17"/>
        <v>0</v>
      </c>
      <c r="T54" s="1">
        <f t="shared" si="18"/>
        <v>0</v>
      </c>
      <c r="U54" s="1">
        <f t="shared" si="19"/>
        <v>0</v>
      </c>
      <c r="V54" s="1">
        <f t="shared" si="20"/>
        <v>0</v>
      </c>
      <c r="W54" s="1">
        <f t="shared" si="21"/>
        <v>0</v>
      </c>
      <c r="X54" s="72">
        <f>IF($B$1="M",(VLOOKUP(N54,Tasas!$A$3:$C$65,2)*O54),(VLOOKUP(N54,Tasas!$A$3:$C$65,3)*O54))</f>
        <v>0</v>
      </c>
      <c r="Y54" s="60">
        <f>IF($B$1="M",(VLOOKUP(N54,Tasas!$A$3:$C$65,2)*P54),(VLOOKUP(N54,Tasas!$A$3:$C$65,3)*P54))</f>
        <v>0</v>
      </c>
      <c r="Z54" s="72">
        <f>IF($B$1="M",(VLOOKUP(N54,Tasas!$M$3:$O$55,2)*Q54),(VLOOKUP(N54,Tasas!$M$3:$O$55,3)*Q54))</f>
        <v>0</v>
      </c>
      <c r="AA54" s="72">
        <f>IF($B$1="M",(VLOOKUP(N54,Tasas!$E$3:$G$55,2)*R54),(VLOOKUP(N54,Tasas!$E$3:$G$55,3)*R54))</f>
        <v>0</v>
      </c>
      <c r="AB54" s="72">
        <f>IF($B$1="M",(VLOOKUP(N54,Tasas!$I$3:$K$55,2)*S54),(VLOOKUP(N54,Tasas!$I$3:$K$55,3)*S54))</f>
        <v>0</v>
      </c>
      <c r="AC54" s="72">
        <f>+T54*Tasas!$R$2</f>
        <v>0</v>
      </c>
      <c r="AD54" s="72">
        <f>U54*Tasas!$R$3</f>
        <v>0</v>
      </c>
      <c r="AE54" s="72">
        <f>+V54*Tasas!$R$4</f>
        <v>0</v>
      </c>
      <c r="AF54" s="72">
        <f>+W54*Tasas!$R$5</f>
        <v>0</v>
      </c>
      <c r="AG54" s="72">
        <v>0</v>
      </c>
      <c r="AH54" s="72">
        <f t="shared" si="1"/>
        <v>0</v>
      </c>
      <c r="AI54" s="72">
        <f t="shared" si="2"/>
        <v>0</v>
      </c>
      <c r="AJ54" s="72"/>
      <c r="AK54" s="60">
        <f t="shared" si="3"/>
        <v>0</v>
      </c>
      <c r="AL54" s="60">
        <f t="shared" si="4"/>
        <v>0</v>
      </c>
      <c r="AM54" s="60">
        <f t="shared" si="5"/>
        <v>0</v>
      </c>
      <c r="AN54" s="60">
        <f t="shared" si="6"/>
        <v>0</v>
      </c>
      <c r="AO54" s="60">
        <f t="shared" si="7"/>
        <v>0</v>
      </c>
      <c r="AP54" s="60">
        <f t="shared" si="8"/>
        <v>0</v>
      </c>
      <c r="AQ54" s="60">
        <f t="shared" si="9"/>
        <v>0</v>
      </c>
      <c r="AR54" s="60">
        <f t="shared" si="10"/>
        <v>0</v>
      </c>
      <c r="AS54" s="60">
        <f t="shared" si="11"/>
        <v>0</v>
      </c>
      <c r="AT54" s="130">
        <f t="shared" si="12"/>
        <v>0</v>
      </c>
    </row>
    <row r="55" spans="14:46">
      <c r="N55">
        <f t="shared" si="13"/>
        <v>103</v>
      </c>
      <c r="O55" s="1">
        <f t="shared" si="22"/>
        <v>0</v>
      </c>
      <c r="P55" s="1">
        <f t="shared" si="14"/>
        <v>0</v>
      </c>
      <c r="Q55" s="1">
        <f t="shared" si="15"/>
        <v>0</v>
      </c>
      <c r="R55" s="1">
        <f t="shared" si="16"/>
        <v>0</v>
      </c>
      <c r="S55" s="1">
        <f t="shared" si="17"/>
        <v>0</v>
      </c>
      <c r="T55" s="1">
        <f t="shared" si="18"/>
        <v>0</v>
      </c>
      <c r="U55" s="1">
        <f t="shared" si="19"/>
        <v>0</v>
      </c>
      <c r="V55" s="1">
        <f t="shared" si="20"/>
        <v>0</v>
      </c>
      <c r="W55" s="1">
        <f t="shared" si="21"/>
        <v>0</v>
      </c>
      <c r="X55" s="72">
        <f>IF($B$1="M",(VLOOKUP(N55,Tasas!$A$3:$C$65,2)*O55),(VLOOKUP(N55,Tasas!$A$3:$C$65,3)*O55))</f>
        <v>0</v>
      </c>
      <c r="Y55" s="60">
        <f>IF($B$1="M",(VLOOKUP(N55,Tasas!$A$3:$C$65,2)*P55),(VLOOKUP(N55,Tasas!$A$3:$C$65,3)*P55))</f>
        <v>0</v>
      </c>
      <c r="Z55" s="72">
        <f>IF($B$1="M",(VLOOKUP(N55,Tasas!$M$3:$O$55,2)*Q55),(VLOOKUP(N55,Tasas!$M$3:$O$55,3)*Q55))</f>
        <v>0</v>
      </c>
      <c r="AA55" s="72">
        <f>IF($B$1="M",(VLOOKUP(N55,Tasas!$E$3:$G$55,2)*R55),(VLOOKUP(N55,Tasas!$E$3:$G$55,3)*R55))</f>
        <v>0</v>
      </c>
      <c r="AB55" s="72">
        <f>IF($B$1="M",(VLOOKUP(N55,Tasas!$I$3:$K$55,2)*S55),(VLOOKUP(N55,Tasas!$I$3:$K$55,3)*S55))</f>
        <v>0</v>
      </c>
      <c r="AC55" s="72">
        <f>+T55*Tasas!$R$2</f>
        <v>0</v>
      </c>
      <c r="AD55" s="72">
        <f>U55*Tasas!$R$3</f>
        <v>0</v>
      </c>
      <c r="AE55" s="72">
        <f>+V55*Tasas!$R$4</f>
        <v>0</v>
      </c>
      <c r="AF55" s="72">
        <f>+W55*Tasas!$R$5</f>
        <v>0</v>
      </c>
      <c r="AG55" s="72">
        <v>0</v>
      </c>
      <c r="AH55" s="72">
        <f t="shared" si="1"/>
        <v>0</v>
      </c>
      <c r="AI55" s="72">
        <f t="shared" si="2"/>
        <v>0</v>
      </c>
      <c r="AJ55" s="72"/>
      <c r="AK55" s="60">
        <f t="shared" si="3"/>
        <v>0</v>
      </c>
      <c r="AL55" s="60">
        <f t="shared" si="4"/>
        <v>0</v>
      </c>
      <c r="AM55" s="60">
        <f t="shared" si="5"/>
        <v>0</v>
      </c>
      <c r="AN55" s="60">
        <f t="shared" si="6"/>
        <v>0</v>
      </c>
      <c r="AO55" s="60">
        <f t="shared" si="7"/>
        <v>0</v>
      </c>
      <c r="AP55" s="60">
        <f t="shared" si="8"/>
        <v>0</v>
      </c>
      <c r="AQ55" s="60">
        <f t="shared" si="9"/>
        <v>0</v>
      </c>
      <c r="AR55" s="60">
        <f t="shared" si="10"/>
        <v>0</v>
      </c>
      <c r="AS55" s="60">
        <f t="shared" si="11"/>
        <v>0</v>
      </c>
      <c r="AT55" s="130">
        <f t="shared" si="12"/>
        <v>0</v>
      </c>
    </row>
    <row r="56" spans="14:46">
      <c r="N56">
        <f t="shared" si="13"/>
        <v>104</v>
      </c>
      <c r="O56" s="1">
        <f t="shared" si="22"/>
        <v>0</v>
      </c>
      <c r="P56" s="1">
        <f t="shared" si="14"/>
        <v>0</v>
      </c>
      <c r="Q56" s="1">
        <f t="shared" si="15"/>
        <v>0</v>
      </c>
      <c r="R56" s="1">
        <f t="shared" si="16"/>
        <v>0</v>
      </c>
      <c r="S56" s="1">
        <f t="shared" si="17"/>
        <v>0</v>
      </c>
      <c r="T56" s="1">
        <f t="shared" si="18"/>
        <v>0</v>
      </c>
      <c r="U56" s="1">
        <f t="shared" si="19"/>
        <v>0</v>
      </c>
      <c r="V56" s="1">
        <f t="shared" si="20"/>
        <v>0</v>
      </c>
      <c r="W56" s="1">
        <f t="shared" si="21"/>
        <v>0</v>
      </c>
      <c r="X56" s="72">
        <f>IF($B$1="M",(VLOOKUP(N56,Tasas!$A$3:$C$65,2)*O56),(VLOOKUP(N56,Tasas!$A$3:$C$65,3)*O56))</f>
        <v>0</v>
      </c>
      <c r="Y56" s="60">
        <f>IF($B$1="M",(VLOOKUP(N56,Tasas!$A$3:$C$65,2)*P56),(VLOOKUP(N56,Tasas!$A$3:$C$65,3)*P56))</f>
        <v>0</v>
      </c>
      <c r="Z56" s="72">
        <f>IF($B$1="M",(VLOOKUP(N56,Tasas!$M$3:$O$55,2)*Q56),(VLOOKUP(N56,Tasas!$M$3:$O$55,3)*Q56))</f>
        <v>0</v>
      </c>
      <c r="AA56" s="72">
        <f>IF($B$1="M",(VLOOKUP(N56,Tasas!$E$3:$G$55,2)*R56),(VLOOKUP(N56,Tasas!$E$3:$G$55,3)*R56))</f>
        <v>0</v>
      </c>
      <c r="AB56" s="72">
        <f>IF($B$1="M",(VLOOKUP(N56,Tasas!$I$3:$K$55,2)*S56),(VLOOKUP(N56,Tasas!$I$3:$K$55,3)*S56))</f>
        <v>0</v>
      </c>
      <c r="AC56" s="72">
        <f>+T56*Tasas!$R$2</f>
        <v>0</v>
      </c>
      <c r="AD56" s="72">
        <f>U56*Tasas!$R$3</f>
        <v>0</v>
      </c>
      <c r="AE56" s="72">
        <f>+V56*Tasas!$R$4</f>
        <v>0</v>
      </c>
      <c r="AF56" s="72">
        <f>+W56*Tasas!$R$5</f>
        <v>0</v>
      </c>
      <c r="AG56" s="72">
        <v>0</v>
      </c>
      <c r="AH56" s="72">
        <f t="shared" si="1"/>
        <v>0</v>
      </c>
      <c r="AI56" s="72">
        <f t="shared" si="2"/>
        <v>0</v>
      </c>
      <c r="AJ56" s="72"/>
      <c r="AK56" s="60">
        <f t="shared" si="3"/>
        <v>0</v>
      </c>
      <c r="AL56" s="60">
        <f t="shared" si="4"/>
        <v>0</v>
      </c>
      <c r="AM56" s="60">
        <f t="shared" si="5"/>
        <v>0</v>
      </c>
      <c r="AN56" s="60">
        <f t="shared" si="6"/>
        <v>0</v>
      </c>
      <c r="AO56" s="60">
        <f t="shared" si="7"/>
        <v>0</v>
      </c>
      <c r="AP56" s="60">
        <f t="shared" si="8"/>
        <v>0</v>
      </c>
      <c r="AQ56" s="60">
        <f t="shared" si="9"/>
        <v>0</v>
      </c>
      <c r="AR56" s="60">
        <f t="shared" si="10"/>
        <v>0</v>
      </c>
      <c r="AS56" s="60">
        <f t="shared" si="11"/>
        <v>0</v>
      </c>
      <c r="AT56" s="130">
        <f t="shared" si="12"/>
        <v>0</v>
      </c>
    </row>
    <row r="57" spans="14:46">
      <c r="N57">
        <f t="shared" si="13"/>
        <v>105</v>
      </c>
      <c r="O57" s="1">
        <f t="shared" si="22"/>
        <v>0</v>
      </c>
      <c r="P57" s="1">
        <f t="shared" si="14"/>
        <v>0</v>
      </c>
      <c r="Q57" s="1">
        <f t="shared" si="15"/>
        <v>0</v>
      </c>
      <c r="R57" s="1">
        <f t="shared" si="16"/>
        <v>0</v>
      </c>
      <c r="S57" s="1">
        <f t="shared" si="17"/>
        <v>0</v>
      </c>
      <c r="T57" s="1">
        <f t="shared" si="18"/>
        <v>0</v>
      </c>
      <c r="U57" s="1">
        <f t="shared" si="19"/>
        <v>0</v>
      </c>
      <c r="V57" s="1">
        <f t="shared" si="20"/>
        <v>0</v>
      </c>
      <c r="W57" s="1">
        <f t="shared" si="21"/>
        <v>0</v>
      </c>
      <c r="X57" s="72">
        <f>IF($B$1="M",(VLOOKUP(N57,Tasas!$A$3:$C$65,2)*O57),(VLOOKUP(N57,Tasas!$A$3:$C$65,3)*O57))</f>
        <v>0</v>
      </c>
      <c r="Y57" s="60">
        <f>IF($B$1="M",(VLOOKUP(N57,Tasas!$A$3:$C$65,2)*P57),(VLOOKUP(N57,Tasas!$A$3:$C$65,3)*P57))</f>
        <v>0</v>
      </c>
      <c r="Z57" s="72">
        <f>IF($B$1="M",(VLOOKUP(N57,Tasas!$M$3:$O$55,2)*Q57),(VLOOKUP(N57,Tasas!$M$3:$O$55,3)*Q57))</f>
        <v>0</v>
      </c>
      <c r="AA57" s="72">
        <f>IF($B$1="M",(VLOOKUP(N57,Tasas!$E$3:$G$55,2)*R57),(VLOOKUP(N57,Tasas!$E$3:$G$55,3)*R57))</f>
        <v>0</v>
      </c>
      <c r="AB57" s="72">
        <f>IF($B$1="M",(VLOOKUP(N57,Tasas!$I$3:$K$55,2)*S57),(VLOOKUP(N57,Tasas!$I$3:$K$55,3)*S57))</f>
        <v>0</v>
      </c>
      <c r="AC57" s="72">
        <f>+T57*Tasas!$R$2</f>
        <v>0</v>
      </c>
      <c r="AD57" s="72">
        <f>U57*Tasas!$R$3</f>
        <v>0</v>
      </c>
      <c r="AE57" s="72">
        <f>+V57*Tasas!$R$4</f>
        <v>0</v>
      </c>
      <c r="AF57" s="72">
        <f>+W57*Tasas!$R$5</f>
        <v>0</v>
      </c>
      <c r="AG57" s="72">
        <v>0</v>
      </c>
      <c r="AH57" s="72">
        <f t="shared" si="1"/>
        <v>0</v>
      </c>
      <c r="AI57" s="72">
        <f t="shared" si="2"/>
        <v>0</v>
      </c>
      <c r="AJ57" s="72"/>
      <c r="AK57" s="60">
        <f t="shared" si="3"/>
        <v>0</v>
      </c>
      <c r="AL57" s="60">
        <f t="shared" si="4"/>
        <v>0</v>
      </c>
      <c r="AM57" s="60">
        <f t="shared" si="5"/>
        <v>0</v>
      </c>
      <c r="AN57" s="60">
        <f t="shared" si="6"/>
        <v>0</v>
      </c>
      <c r="AO57" s="60">
        <f t="shared" si="7"/>
        <v>0</v>
      </c>
      <c r="AP57" s="60">
        <f t="shared" si="8"/>
        <v>0</v>
      </c>
      <c r="AQ57" s="60">
        <f t="shared" si="9"/>
        <v>0</v>
      </c>
      <c r="AR57" s="60">
        <f t="shared" si="10"/>
        <v>0</v>
      </c>
      <c r="AS57" s="60">
        <f t="shared" si="11"/>
        <v>0</v>
      </c>
      <c r="AT57" s="130">
        <f t="shared" si="12"/>
        <v>0</v>
      </c>
    </row>
    <row r="58" spans="14:46">
      <c r="N58">
        <f t="shared" si="13"/>
        <v>106</v>
      </c>
      <c r="O58" s="1">
        <f t="shared" si="22"/>
        <v>0</v>
      </c>
      <c r="P58" s="1">
        <f t="shared" si="14"/>
        <v>0</v>
      </c>
      <c r="Q58" s="1">
        <f t="shared" si="15"/>
        <v>0</v>
      </c>
      <c r="R58" s="1">
        <f t="shared" si="16"/>
        <v>0</v>
      </c>
      <c r="S58" s="1">
        <f t="shared" si="17"/>
        <v>0</v>
      </c>
      <c r="T58" s="1">
        <f t="shared" si="18"/>
        <v>0</v>
      </c>
      <c r="U58" s="1">
        <f t="shared" si="19"/>
        <v>0</v>
      </c>
      <c r="V58" s="1">
        <f t="shared" si="20"/>
        <v>0</v>
      </c>
      <c r="W58" s="1">
        <f t="shared" si="21"/>
        <v>0</v>
      </c>
      <c r="X58" s="72">
        <f>IF($B$1="M",(VLOOKUP(N58,Tasas!$A$3:$C$65,2)*O58),(VLOOKUP(N58,Tasas!$A$3:$C$65,3)*O58))</f>
        <v>0</v>
      </c>
      <c r="Y58" s="60">
        <f>IF($B$1="M",(VLOOKUP(N58,Tasas!$A$3:$C$65,2)*P58),(VLOOKUP(N58,Tasas!$A$3:$C$65,3)*P58))</f>
        <v>0</v>
      </c>
      <c r="Z58" s="72">
        <f>IF($B$1="M",(VLOOKUP(N58,Tasas!$M$3:$O$55,2)*Q58),(VLOOKUP(N58,Tasas!$M$3:$O$55,3)*Q58))</f>
        <v>0</v>
      </c>
      <c r="AA58" s="72">
        <f>IF($B$1="M",(VLOOKUP(N58,Tasas!$E$3:$G$55,2)*R58),(VLOOKUP(N58,Tasas!$E$3:$G$55,3)*R58))</f>
        <v>0</v>
      </c>
      <c r="AB58" s="72">
        <f>IF($B$1="M",(VLOOKUP(N58,Tasas!$I$3:$K$55,2)*S58),(VLOOKUP(N58,Tasas!$I$3:$K$55,3)*S58))</f>
        <v>0</v>
      </c>
      <c r="AC58" s="72">
        <f>+T58*Tasas!$R$2</f>
        <v>0</v>
      </c>
      <c r="AD58" s="72">
        <f>U58*Tasas!$R$3</f>
        <v>0</v>
      </c>
      <c r="AE58" s="72">
        <f>+V58*Tasas!$R$4</f>
        <v>0</v>
      </c>
      <c r="AF58" s="72">
        <f>+W58*Tasas!$R$5</f>
        <v>0</v>
      </c>
      <c r="AG58" s="72">
        <v>0</v>
      </c>
      <c r="AH58" s="72">
        <f t="shared" si="1"/>
        <v>0</v>
      </c>
      <c r="AI58" s="72">
        <f t="shared" si="2"/>
        <v>0</v>
      </c>
      <c r="AJ58" s="72"/>
      <c r="AK58" s="60">
        <f t="shared" si="3"/>
        <v>0</v>
      </c>
      <c r="AL58" s="60">
        <f t="shared" si="4"/>
        <v>0</v>
      </c>
      <c r="AM58" s="60">
        <f t="shared" si="5"/>
        <v>0</v>
      </c>
      <c r="AN58" s="60">
        <f t="shared" si="6"/>
        <v>0</v>
      </c>
      <c r="AO58" s="60">
        <f t="shared" si="7"/>
        <v>0</v>
      </c>
      <c r="AP58" s="60">
        <f t="shared" si="8"/>
        <v>0</v>
      </c>
      <c r="AQ58" s="60">
        <f t="shared" si="9"/>
        <v>0</v>
      </c>
      <c r="AR58" s="60">
        <f t="shared" si="10"/>
        <v>0</v>
      </c>
      <c r="AS58" s="60">
        <f t="shared" si="11"/>
        <v>0</v>
      </c>
      <c r="AT58" s="130">
        <f t="shared" si="12"/>
        <v>0</v>
      </c>
    </row>
    <row r="59" spans="14:46">
      <c r="N59">
        <f t="shared" si="13"/>
        <v>107</v>
      </c>
      <c r="O59" s="1">
        <f t="shared" si="22"/>
        <v>0</v>
      </c>
      <c r="P59" s="1">
        <f t="shared" si="14"/>
        <v>0</v>
      </c>
      <c r="Q59" s="1">
        <f t="shared" si="15"/>
        <v>0</v>
      </c>
      <c r="R59" s="1">
        <f t="shared" si="16"/>
        <v>0</v>
      </c>
      <c r="S59" s="1">
        <f t="shared" si="17"/>
        <v>0</v>
      </c>
      <c r="T59" s="1">
        <f t="shared" si="18"/>
        <v>0</v>
      </c>
      <c r="U59" s="1">
        <f t="shared" si="19"/>
        <v>0</v>
      </c>
      <c r="V59" s="1">
        <f t="shared" si="20"/>
        <v>0</v>
      </c>
      <c r="W59" s="1">
        <f t="shared" si="21"/>
        <v>0</v>
      </c>
      <c r="X59" s="72">
        <f>IF($B$1="M",(VLOOKUP(N59,Tasas!$A$3:$C$65,2)*O59),(VLOOKUP(N59,Tasas!$A$3:$C$65,3)*O59))</f>
        <v>0</v>
      </c>
      <c r="Y59" s="60">
        <f>IF($B$1="M",(VLOOKUP(N59,Tasas!$A$3:$C$65,2)*P59),(VLOOKUP(N59,Tasas!$A$3:$C$65,3)*P59))</f>
        <v>0</v>
      </c>
      <c r="Z59" s="72">
        <f>IF($B$1="M",(VLOOKUP(N59,Tasas!$M$3:$O$55,2)*Q59),(VLOOKUP(N59,Tasas!$M$3:$O$55,3)*Q59))</f>
        <v>0</v>
      </c>
      <c r="AA59" s="72">
        <f>IF($B$1="M",(VLOOKUP(N59,Tasas!$E$3:$G$55,2)*R59),(VLOOKUP(N59,Tasas!$E$3:$G$55,3)*R59))</f>
        <v>0</v>
      </c>
      <c r="AB59" s="72">
        <f>IF($B$1="M",(VLOOKUP(N59,Tasas!$I$3:$K$55,2)*S59),(VLOOKUP(N59,Tasas!$I$3:$K$55,3)*S59))</f>
        <v>0</v>
      </c>
      <c r="AC59" s="72">
        <f>+T59*Tasas!$R$2</f>
        <v>0</v>
      </c>
      <c r="AD59" s="72">
        <f>U59*Tasas!$R$3</f>
        <v>0</v>
      </c>
      <c r="AE59" s="72">
        <f>+V59*Tasas!$R$4</f>
        <v>0</v>
      </c>
      <c r="AF59" s="72">
        <f>+W59*Tasas!$R$5</f>
        <v>0</v>
      </c>
      <c r="AG59" s="72">
        <v>0</v>
      </c>
      <c r="AH59" s="72">
        <f t="shared" si="1"/>
        <v>0</v>
      </c>
      <c r="AI59" s="72">
        <f t="shared" si="2"/>
        <v>0</v>
      </c>
      <c r="AJ59" s="72"/>
      <c r="AK59" s="60">
        <f t="shared" si="3"/>
        <v>0</v>
      </c>
      <c r="AL59" s="60">
        <f t="shared" si="4"/>
        <v>0</v>
      </c>
      <c r="AM59" s="60">
        <f t="shared" si="5"/>
        <v>0</v>
      </c>
      <c r="AN59" s="60">
        <f t="shared" si="6"/>
        <v>0</v>
      </c>
      <c r="AO59" s="60">
        <f t="shared" si="7"/>
        <v>0</v>
      </c>
      <c r="AP59" s="60">
        <f t="shared" si="8"/>
        <v>0</v>
      </c>
      <c r="AQ59" s="60">
        <f t="shared" si="9"/>
        <v>0</v>
      </c>
      <c r="AR59" s="60">
        <f t="shared" si="10"/>
        <v>0</v>
      </c>
      <c r="AS59" s="60">
        <f t="shared" si="11"/>
        <v>0</v>
      </c>
      <c r="AT59" s="130">
        <f t="shared" si="12"/>
        <v>0</v>
      </c>
    </row>
    <row r="60" spans="14:46">
      <c r="N60">
        <f t="shared" si="13"/>
        <v>108</v>
      </c>
      <c r="O60" s="1">
        <f t="shared" si="22"/>
        <v>0</v>
      </c>
      <c r="P60" s="1">
        <f t="shared" si="14"/>
        <v>0</v>
      </c>
      <c r="Q60" s="1">
        <f t="shared" si="15"/>
        <v>0</v>
      </c>
      <c r="R60" s="1">
        <f t="shared" si="16"/>
        <v>0</v>
      </c>
      <c r="S60" s="1">
        <f t="shared" si="17"/>
        <v>0</v>
      </c>
      <c r="T60" s="1">
        <f t="shared" si="18"/>
        <v>0</v>
      </c>
      <c r="U60" s="1">
        <f t="shared" si="19"/>
        <v>0</v>
      </c>
      <c r="V60" s="1">
        <f t="shared" si="20"/>
        <v>0</v>
      </c>
      <c r="W60" s="1">
        <f t="shared" si="21"/>
        <v>0</v>
      </c>
      <c r="X60" s="72">
        <f>IF($B$1="M",(VLOOKUP(N60,Tasas!$A$3:$C$65,2)*O60),(VLOOKUP(N60,Tasas!$A$3:$C$65,3)*O60))</f>
        <v>0</v>
      </c>
      <c r="Y60" s="60">
        <f>IF($B$1="M",(VLOOKUP(N60,Tasas!$A$3:$C$65,2)*P60),(VLOOKUP(N60,Tasas!$A$3:$C$65,3)*P60))</f>
        <v>0</v>
      </c>
      <c r="Z60" s="72">
        <f>IF($B$1="M",(VLOOKUP(N60,Tasas!$M$3:$O$55,2)*Q60),(VLOOKUP(N60,Tasas!$M$3:$O$55,3)*Q60))</f>
        <v>0</v>
      </c>
      <c r="AA60" s="72">
        <f>IF($B$1="M",(VLOOKUP(N60,Tasas!$E$3:$G$55,2)*R60),(VLOOKUP(N60,Tasas!$E$3:$G$55,3)*R60))</f>
        <v>0</v>
      </c>
      <c r="AB60" s="72">
        <f>IF($B$1="M",(VLOOKUP(N60,Tasas!$I$3:$K$55,2)*S60),(VLOOKUP(N60,Tasas!$I$3:$K$55,3)*S60))</f>
        <v>0</v>
      </c>
      <c r="AC60" s="72">
        <f>+T60*Tasas!$R$2</f>
        <v>0</v>
      </c>
      <c r="AD60" s="72">
        <f>U60*Tasas!$R$3</f>
        <v>0</v>
      </c>
      <c r="AE60" s="72">
        <f>+V60*Tasas!$R$4</f>
        <v>0</v>
      </c>
      <c r="AF60" s="72">
        <f>+W60*Tasas!$R$5</f>
        <v>0</v>
      </c>
      <c r="AG60" s="72">
        <v>0</v>
      </c>
      <c r="AH60" s="72">
        <f t="shared" si="1"/>
        <v>0</v>
      </c>
      <c r="AI60" s="72">
        <f t="shared" si="2"/>
        <v>0</v>
      </c>
      <c r="AJ60" s="72"/>
      <c r="AK60" s="60">
        <f t="shared" si="3"/>
        <v>0</v>
      </c>
      <c r="AL60" s="60">
        <f t="shared" si="4"/>
        <v>0</v>
      </c>
      <c r="AM60" s="60">
        <f t="shared" si="5"/>
        <v>0</v>
      </c>
      <c r="AN60" s="60">
        <f t="shared" si="6"/>
        <v>0</v>
      </c>
      <c r="AO60" s="60">
        <f t="shared" si="7"/>
        <v>0</v>
      </c>
      <c r="AP60" s="60">
        <f t="shared" si="8"/>
        <v>0</v>
      </c>
      <c r="AQ60" s="60">
        <f t="shared" si="9"/>
        <v>0</v>
      </c>
      <c r="AR60" s="60">
        <f t="shared" si="10"/>
        <v>0</v>
      </c>
      <c r="AS60" s="60">
        <f t="shared" si="11"/>
        <v>0</v>
      </c>
      <c r="AT60" s="130">
        <f t="shared" si="12"/>
        <v>0</v>
      </c>
    </row>
    <row r="61" spans="14:46">
      <c r="N61">
        <f t="shared" si="13"/>
        <v>109</v>
      </c>
      <c r="O61" s="1">
        <f t="shared" si="22"/>
        <v>0</v>
      </c>
      <c r="P61" s="1">
        <f t="shared" si="14"/>
        <v>0</v>
      </c>
      <c r="Q61" s="1">
        <f t="shared" si="15"/>
        <v>0</v>
      </c>
      <c r="R61" s="1">
        <f t="shared" si="16"/>
        <v>0</v>
      </c>
      <c r="S61" s="1">
        <f t="shared" si="17"/>
        <v>0</v>
      </c>
      <c r="T61" s="1">
        <f t="shared" si="18"/>
        <v>0</v>
      </c>
      <c r="U61" s="1">
        <f t="shared" si="19"/>
        <v>0</v>
      </c>
      <c r="V61" s="1">
        <f t="shared" si="20"/>
        <v>0</v>
      </c>
      <c r="W61" s="1">
        <f t="shared" si="21"/>
        <v>0</v>
      </c>
      <c r="X61" s="72">
        <f>IF($B$1="M",(VLOOKUP(N61,Tasas!$A$3:$C$65,2)*O61),(VLOOKUP(N61,Tasas!$A$3:$C$65,3)*O61))</f>
        <v>0</v>
      </c>
      <c r="Y61" s="60">
        <f>IF($B$1="M",(VLOOKUP(N61,Tasas!$A$3:$C$65,2)*P61),(VLOOKUP(N61,Tasas!$A$3:$C$65,3)*P61))</f>
        <v>0</v>
      </c>
      <c r="Z61" s="72">
        <f>IF($B$1="M",(VLOOKUP(N61,Tasas!$M$3:$O$55,2)*Q61),(VLOOKUP(N61,Tasas!$M$3:$O$55,3)*Q61))</f>
        <v>0</v>
      </c>
      <c r="AA61" s="72">
        <f>IF($B$1="M",(VLOOKUP(N61,Tasas!$E$3:$G$55,2)*R61),(VLOOKUP(N61,Tasas!$E$3:$G$55,3)*R61))</f>
        <v>0</v>
      </c>
      <c r="AB61" s="72">
        <f>IF($B$1="M",(VLOOKUP(N61,Tasas!$I$3:$K$55,2)*S61),(VLOOKUP(N61,Tasas!$I$3:$K$55,3)*S61))</f>
        <v>0</v>
      </c>
      <c r="AC61" s="72">
        <f>+T61*Tasas!$R$2</f>
        <v>0</v>
      </c>
      <c r="AD61" s="72">
        <f>U61*Tasas!$R$3</f>
        <v>0</v>
      </c>
      <c r="AE61" s="72">
        <f>+V61*Tasas!$R$4</f>
        <v>0</v>
      </c>
      <c r="AF61" s="72">
        <f>+W61*Tasas!$R$5</f>
        <v>0</v>
      </c>
      <c r="AG61" s="72">
        <v>0</v>
      </c>
      <c r="AH61" s="72">
        <f t="shared" si="1"/>
        <v>0</v>
      </c>
      <c r="AI61" s="72">
        <f t="shared" si="2"/>
        <v>0</v>
      </c>
      <c r="AJ61" s="72"/>
      <c r="AK61" s="60">
        <f t="shared" si="3"/>
        <v>0</v>
      </c>
      <c r="AL61" s="60">
        <f t="shared" si="4"/>
        <v>0</v>
      </c>
      <c r="AM61" s="60">
        <f t="shared" si="5"/>
        <v>0</v>
      </c>
      <c r="AN61" s="60">
        <f t="shared" si="6"/>
        <v>0</v>
      </c>
      <c r="AO61" s="60">
        <f t="shared" si="7"/>
        <v>0</v>
      </c>
      <c r="AP61" s="60">
        <f t="shared" si="8"/>
        <v>0</v>
      </c>
      <c r="AQ61" s="60">
        <f t="shared" si="9"/>
        <v>0</v>
      </c>
      <c r="AR61" s="60">
        <f t="shared" si="10"/>
        <v>0</v>
      </c>
      <c r="AS61" s="60">
        <f t="shared" si="11"/>
        <v>0</v>
      </c>
      <c r="AT61" s="130">
        <f t="shared" si="12"/>
        <v>0</v>
      </c>
    </row>
    <row r="62" spans="14:46">
      <c r="N62">
        <f t="shared" si="13"/>
        <v>110</v>
      </c>
      <c r="O62" s="1">
        <f t="shared" si="22"/>
        <v>0</v>
      </c>
      <c r="P62" s="1">
        <f t="shared" si="14"/>
        <v>0</v>
      </c>
      <c r="Q62" s="1">
        <f t="shared" si="15"/>
        <v>0</v>
      </c>
      <c r="R62" s="1">
        <f t="shared" si="16"/>
        <v>0</v>
      </c>
      <c r="S62" s="1">
        <f t="shared" si="17"/>
        <v>0</v>
      </c>
      <c r="T62" s="1">
        <f t="shared" si="18"/>
        <v>0</v>
      </c>
      <c r="U62" s="1">
        <f t="shared" si="19"/>
        <v>0</v>
      </c>
      <c r="V62" s="1">
        <f t="shared" si="20"/>
        <v>0</v>
      </c>
      <c r="W62" s="1">
        <f t="shared" si="21"/>
        <v>0</v>
      </c>
      <c r="X62" s="72">
        <f>IF($B$1="M",(VLOOKUP(N62,Tasas!$A$3:$C$65,2)*O62),(VLOOKUP(N62,Tasas!$A$3:$C$65,3)*O62))</f>
        <v>0</v>
      </c>
      <c r="Y62" s="60">
        <f>IF($B$1="M",(VLOOKUP(N62,Tasas!$A$3:$C$65,2)*P62),(VLOOKUP(N62,Tasas!$A$3:$C$65,3)*P62))</f>
        <v>0</v>
      </c>
      <c r="Z62" s="72">
        <f>IF($B$1="M",(VLOOKUP(N62,Tasas!$M$3:$O$55,2)*Q62),(VLOOKUP(N62,Tasas!$M$3:$O$55,3)*Q62))</f>
        <v>0</v>
      </c>
      <c r="AA62" s="72">
        <f>IF($B$1="M",(VLOOKUP(N62,Tasas!$E$3:$G$55,2)*R62),(VLOOKUP(N62,Tasas!$E$3:$G$55,3)*R62))</f>
        <v>0</v>
      </c>
      <c r="AB62" s="72">
        <f>IF($B$1="M",(VLOOKUP(N62,Tasas!$I$3:$K$55,2)*S62),(VLOOKUP(N62,Tasas!$I$3:$K$55,3)*S62))</f>
        <v>0</v>
      </c>
      <c r="AC62" s="72">
        <f>+T62*Tasas!$R$2</f>
        <v>0</v>
      </c>
      <c r="AD62" s="72">
        <f>U62*Tasas!$R$3</f>
        <v>0</v>
      </c>
      <c r="AE62" s="72">
        <f>+V62*Tasas!$R$4</f>
        <v>0</v>
      </c>
      <c r="AF62" s="72">
        <f>+W62*Tasas!$R$5</f>
        <v>0</v>
      </c>
      <c r="AG62" s="72">
        <v>0</v>
      </c>
      <c r="AH62" s="72">
        <f t="shared" si="1"/>
        <v>0</v>
      </c>
      <c r="AI62" s="72">
        <f t="shared" si="2"/>
        <v>0</v>
      </c>
      <c r="AJ62" s="72"/>
      <c r="AK62" s="60">
        <f t="shared" si="3"/>
        <v>0</v>
      </c>
      <c r="AL62" s="60">
        <f t="shared" si="4"/>
        <v>0</v>
      </c>
      <c r="AM62" s="60">
        <f t="shared" si="5"/>
        <v>0</v>
      </c>
      <c r="AN62" s="60">
        <f t="shared" si="6"/>
        <v>0</v>
      </c>
      <c r="AO62" s="60">
        <f t="shared" si="7"/>
        <v>0</v>
      </c>
      <c r="AP62" s="60">
        <f t="shared" si="8"/>
        <v>0</v>
      </c>
      <c r="AQ62" s="60">
        <f t="shared" si="9"/>
        <v>0</v>
      </c>
      <c r="AR62" s="60">
        <f t="shared" si="10"/>
        <v>0</v>
      </c>
      <c r="AS62" s="60">
        <f t="shared" si="11"/>
        <v>0</v>
      </c>
      <c r="AT62" s="130">
        <f t="shared" si="12"/>
        <v>0</v>
      </c>
    </row>
    <row r="63" spans="14:46">
      <c r="N63">
        <f t="shared" si="13"/>
        <v>111</v>
      </c>
      <c r="O63" s="1">
        <f t="shared" si="22"/>
        <v>0</v>
      </c>
      <c r="P63" s="1">
        <f t="shared" si="14"/>
        <v>0</v>
      </c>
      <c r="Q63" s="1">
        <f t="shared" si="15"/>
        <v>0</v>
      </c>
      <c r="R63" s="1">
        <f t="shared" si="16"/>
        <v>0</v>
      </c>
      <c r="S63" s="1">
        <f t="shared" si="17"/>
        <v>0</v>
      </c>
      <c r="T63" s="1">
        <f t="shared" si="18"/>
        <v>0</v>
      </c>
      <c r="U63" s="1">
        <f t="shared" si="19"/>
        <v>0</v>
      </c>
      <c r="V63" s="1">
        <f t="shared" si="20"/>
        <v>0</v>
      </c>
      <c r="W63" s="1">
        <f t="shared" si="21"/>
        <v>0</v>
      </c>
      <c r="X63" s="72">
        <f>IF($B$1="M",(VLOOKUP(N63,Tasas!$A$3:$C$65,2)*O63),(VLOOKUP(N63,Tasas!$A$3:$C$65,3)*O63))</f>
        <v>0</v>
      </c>
      <c r="Y63" s="60">
        <f>IF($B$1="M",(VLOOKUP(N63,Tasas!$A$3:$C$65,2)*P63),(VLOOKUP(N63,Tasas!$A$3:$C$65,3)*P63))</f>
        <v>0</v>
      </c>
      <c r="Z63" s="72">
        <f>IF($B$1="M",(VLOOKUP(N63,Tasas!$M$3:$O$55,2)*Q63),(VLOOKUP(N63,Tasas!$M$3:$O$55,3)*Q63))</f>
        <v>0</v>
      </c>
      <c r="AA63" s="72">
        <f>IF($B$1="M",(VLOOKUP(N63,Tasas!$E$3:$G$55,2)*R63),(VLOOKUP(N63,Tasas!$E$3:$G$55,3)*R63))</f>
        <v>0</v>
      </c>
      <c r="AB63" s="72">
        <f>IF($B$1="M",(VLOOKUP(N63,Tasas!$I$3:$K$55,2)*S63),(VLOOKUP(N63,Tasas!$I$3:$K$55,3)*S63))</f>
        <v>0</v>
      </c>
      <c r="AC63" s="72">
        <f>+T63*Tasas!$R$2</f>
        <v>0</v>
      </c>
      <c r="AD63" s="72">
        <f>U63*Tasas!$R$3</f>
        <v>0</v>
      </c>
      <c r="AE63" s="72">
        <f>+V63*Tasas!$R$4</f>
        <v>0</v>
      </c>
      <c r="AF63" s="72">
        <f>+W63*Tasas!$R$5</f>
        <v>0</v>
      </c>
      <c r="AG63" s="72">
        <v>0</v>
      </c>
      <c r="AH63" s="72">
        <f t="shared" si="1"/>
        <v>0</v>
      </c>
      <c r="AI63" s="72">
        <f t="shared" si="2"/>
        <v>0</v>
      </c>
      <c r="AJ63" s="72"/>
      <c r="AK63" s="60">
        <f t="shared" si="3"/>
        <v>0</v>
      </c>
      <c r="AL63" s="60">
        <f t="shared" si="4"/>
        <v>0</v>
      </c>
      <c r="AM63" s="60">
        <f t="shared" si="5"/>
        <v>0</v>
      </c>
      <c r="AN63" s="60">
        <f t="shared" si="6"/>
        <v>0</v>
      </c>
      <c r="AO63" s="60">
        <f t="shared" si="7"/>
        <v>0</v>
      </c>
      <c r="AP63" s="60">
        <f t="shared" si="8"/>
        <v>0</v>
      </c>
      <c r="AQ63" s="60">
        <f t="shared" si="9"/>
        <v>0</v>
      </c>
      <c r="AR63" s="60">
        <f t="shared" si="10"/>
        <v>0</v>
      </c>
      <c r="AS63" s="60">
        <f t="shared" si="11"/>
        <v>0</v>
      </c>
      <c r="AT63" s="130">
        <f t="shared" si="12"/>
        <v>0</v>
      </c>
    </row>
    <row r="64" spans="14:46">
      <c r="N64">
        <f t="shared" si="13"/>
        <v>112</v>
      </c>
      <c r="O64" s="1">
        <f t="shared" si="22"/>
        <v>0</v>
      </c>
      <c r="P64" s="1">
        <f t="shared" si="14"/>
        <v>0</v>
      </c>
      <c r="Q64" s="1">
        <f t="shared" si="15"/>
        <v>0</v>
      </c>
      <c r="R64" s="1">
        <f t="shared" si="16"/>
        <v>0</v>
      </c>
      <c r="S64" s="1">
        <f t="shared" si="17"/>
        <v>0</v>
      </c>
      <c r="T64" s="1">
        <f t="shared" si="18"/>
        <v>0</v>
      </c>
      <c r="U64" s="1">
        <f t="shared" si="19"/>
        <v>0</v>
      </c>
      <c r="V64" s="1">
        <f t="shared" si="20"/>
        <v>0</v>
      </c>
      <c r="W64" s="1">
        <f t="shared" si="21"/>
        <v>0</v>
      </c>
      <c r="X64" s="72">
        <f>IF($B$1="M",(VLOOKUP(N64,Tasas!$A$3:$C$65,2)*O64),(VLOOKUP(N64,Tasas!$A$3:$C$65,3)*O64))</f>
        <v>0</v>
      </c>
      <c r="Y64" s="60">
        <f>IF($B$1="M",(VLOOKUP(N64,Tasas!$A$3:$C$65,2)*P64),(VLOOKUP(N64,Tasas!$A$3:$C$65,3)*P64))</f>
        <v>0</v>
      </c>
      <c r="Z64" s="72">
        <f>IF($B$1="M",(VLOOKUP(N64,Tasas!$M$3:$O$55,2)*Q64),(VLOOKUP(N64,Tasas!$M$3:$O$55,3)*Q64))</f>
        <v>0</v>
      </c>
      <c r="AA64" s="72">
        <f>IF($B$1="M",(VLOOKUP(N64,Tasas!$E$3:$G$55,2)*R64),(VLOOKUP(N64,Tasas!$E$3:$G$55,3)*R64))</f>
        <v>0</v>
      </c>
      <c r="AB64" s="72">
        <f>IF($B$1="M",(VLOOKUP(N64,Tasas!$I$3:$K$55,2)*S64),(VLOOKUP(N64,Tasas!$I$3:$K$55,3)*S64))</f>
        <v>0</v>
      </c>
      <c r="AC64" s="72">
        <f>+T64*Tasas!$R$2</f>
        <v>0</v>
      </c>
      <c r="AD64" s="72">
        <f>U64*Tasas!$R$3</f>
        <v>0</v>
      </c>
      <c r="AE64" s="72">
        <f>+V64*Tasas!$R$4</f>
        <v>0</v>
      </c>
      <c r="AF64" s="72">
        <f>+W64*Tasas!$R$5</f>
        <v>0</v>
      </c>
      <c r="AG64" s="72">
        <v>0</v>
      </c>
      <c r="AH64" s="72">
        <f t="shared" si="1"/>
        <v>0</v>
      </c>
      <c r="AI64" s="72">
        <f t="shared" si="2"/>
        <v>0</v>
      </c>
      <c r="AJ64" s="72"/>
      <c r="AK64" s="60">
        <f t="shared" si="3"/>
        <v>0</v>
      </c>
      <c r="AL64" s="60">
        <f t="shared" si="4"/>
        <v>0</v>
      </c>
      <c r="AM64" s="60">
        <f t="shared" si="5"/>
        <v>0</v>
      </c>
      <c r="AN64" s="60">
        <f t="shared" si="6"/>
        <v>0</v>
      </c>
      <c r="AO64" s="60">
        <f t="shared" si="7"/>
        <v>0</v>
      </c>
      <c r="AP64" s="60">
        <f t="shared" si="8"/>
        <v>0</v>
      </c>
      <c r="AQ64" s="60">
        <f t="shared" si="9"/>
        <v>0</v>
      </c>
      <c r="AR64" s="60">
        <f t="shared" si="10"/>
        <v>0</v>
      </c>
      <c r="AS64" s="60">
        <f t="shared" si="11"/>
        <v>0</v>
      </c>
      <c r="AT64" s="130">
        <f t="shared" si="12"/>
        <v>0</v>
      </c>
    </row>
    <row r="65" spans="14:46">
      <c r="N65">
        <f t="shared" si="13"/>
        <v>113</v>
      </c>
      <c r="O65" s="1">
        <f t="shared" si="22"/>
        <v>0</v>
      </c>
      <c r="P65" s="1">
        <f t="shared" si="14"/>
        <v>0</v>
      </c>
      <c r="Q65" s="1">
        <f t="shared" si="15"/>
        <v>0</v>
      </c>
      <c r="R65" s="1">
        <f t="shared" si="16"/>
        <v>0</v>
      </c>
      <c r="S65" s="1">
        <f t="shared" si="17"/>
        <v>0</v>
      </c>
      <c r="T65" s="1">
        <f t="shared" si="18"/>
        <v>0</v>
      </c>
      <c r="U65" s="1">
        <f t="shared" si="19"/>
        <v>0</v>
      </c>
      <c r="V65" s="1">
        <f t="shared" si="20"/>
        <v>0</v>
      </c>
      <c r="W65" s="1">
        <f t="shared" si="21"/>
        <v>0</v>
      </c>
      <c r="X65" s="72">
        <f>IF($B$1="M",(VLOOKUP(N65,Tasas!$A$3:$C$65,2)*O65),(VLOOKUP(N65,Tasas!$A$3:$C$65,3)*O65))</f>
        <v>0</v>
      </c>
      <c r="Y65" s="60">
        <f>IF($B$1="M",(VLOOKUP(N65,Tasas!$A$3:$C$65,2)*P65),(VLOOKUP(N65,Tasas!$A$3:$C$65,3)*P65))</f>
        <v>0</v>
      </c>
      <c r="Z65" s="72">
        <f>IF($B$1="M",(VLOOKUP(N65,Tasas!$M$3:$O$55,2)*Q65),(VLOOKUP(N65,Tasas!$M$3:$O$55,3)*Q65))</f>
        <v>0</v>
      </c>
      <c r="AA65" s="72">
        <f>IF($B$1="M",(VLOOKUP(N65,Tasas!$E$3:$G$55,2)*R65),(VLOOKUP(N65,Tasas!$E$3:$G$55,3)*R65))</f>
        <v>0</v>
      </c>
      <c r="AB65" s="72">
        <f>IF($B$1="M",(VLOOKUP(N65,Tasas!$I$3:$K$55,2)*S65),(VLOOKUP(N65,Tasas!$I$3:$K$55,3)*S65))</f>
        <v>0</v>
      </c>
      <c r="AC65" s="72">
        <f>+T65*Tasas!$R$2</f>
        <v>0</v>
      </c>
      <c r="AD65" s="72">
        <f>U65*Tasas!$R$3</f>
        <v>0</v>
      </c>
      <c r="AE65" s="72">
        <f>+V65*Tasas!$R$4</f>
        <v>0</v>
      </c>
      <c r="AF65" s="72">
        <f>+W65*Tasas!$R$5</f>
        <v>0</v>
      </c>
      <c r="AG65" s="72">
        <v>0</v>
      </c>
      <c r="AH65" s="72">
        <f t="shared" si="1"/>
        <v>0</v>
      </c>
      <c r="AI65" s="72">
        <f t="shared" si="2"/>
        <v>0</v>
      </c>
      <c r="AJ65" s="72"/>
      <c r="AK65" s="60">
        <f t="shared" si="3"/>
        <v>0</v>
      </c>
      <c r="AL65" s="60">
        <f t="shared" si="4"/>
        <v>0</v>
      </c>
      <c r="AM65" s="60">
        <f t="shared" si="5"/>
        <v>0</v>
      </c>
      <c r="AN65" s="60">
        <f t="shared" si="6"/>
        <v>0</v>
      </c>
      <c r="AO65" s="60">
        <f t="shared" si="7"/>
        <v>0</v>
      </c>
      <c r="AP65" s="60">
        <f t="shared" si="8"/>
        <v>0</v>
      </c>
      <c r="AQ65" s="60">
        <f t="shared" si="9"/>
        <v>0</v>
      </c>
      <c r="AR65" s="60">
        <f t="shared" si="10"/>
        <v>0</v>
      </c>
      <c r="AS65" s="60">
        <f t="shared" si="11"/>
        <v>0</v>
      </c>
      <c r="AT65" s="130">
        <f t="shared" si="12"/>
        <v>0</v>
      </c>
    </row>
    <row r="66" spans="14:46">
      <c r="N66">
        <f t="shared" si="13"/>
        <v>114</v>
      </c>
      <c r="O66" s="1">
        <f t="shared" si="22"/>
        <v>0</v>
      </c>
      <c r="P66" s="1">
        <f t="shared" si="14"/>
        <v>0</v>
      </c>
      <c r="Q66" s="1">
        <f t="shared" si="15"/>
        <v>0</v>
      </c>
      <c r="R66" s="1">
        <f t="shared" si="16"/>
        <v>0</v>
      </c>
      <c r="S66" s="1">
        <f t="shared" si="17"/>
        <v>0</v>
      </c>
      <c r="T66" s="1">
        <f t="shared" si="18"/>
        <v>0</v>
      </c>
      <c r="U66" s="1">
        <f t="shared" si="19"/>
        <v>0</v>
      </c>
      <c r="V66" s="1">
        <f t="shared" si="20"/>
        <v>0</v>
      </c>
      <c r="W66" s="1">
        <f t="shared" si="21"/>
        <v>0</v>
      </c>
      <c r="X66" s="72">
        <f>IF($B$1="M",(VLOOKUP(N66,Tasas!$A$3:$C$65,2)*O66),(VLOOKUP(N66,Tasas!$A$3:$C$65,3)*O66))</f>
        <v>0</v>
      </c>
      <c r="Y66" s="60">
        <f>IF($B$1="M",(VLOOKUP(N66,Tasas!$A$3:$C$65,2)*P66),(VLOOKUP(N66,Tasas!$A$3:$C$65,3)*P66))</f>
        <v>0</v>
      </c>
      <c r="Z66" s="72">
        <f>IF($B$1="M",(VLOOKUP(N66,Tasas!$M$3:$O$55,2)*Q66),(VLOOKUP(N66,Tasas!$M$3:$O$55,3)*Q66))</f>
        <v>0</v>
      </c>
      <c r="AA66" s="72">
        <f>IF($B$1="M",(VLOOKUP(N66,Tasas!$E$3:$G$55,2)*R66),(VLOOKUP(N66,Tasas!$E$3:$G$55,3)*R66))</f>
        <v>0</v>
      </c>
      <c r="AB66" s="72">
        <f>IF($B$1="M",(VLOOKUP(N66,Tasas!$I$3:$K$55,2)*S66),(VLOOKUP(N66,Tasas!$I$3:$K$55,3)*S66))</f>
        <v>0</v>
      </c>
      <c r="AC66" s="72">
        <f>+T66*Tasas!$R$2</f>
        <v>0</v>
      </c>
      <c r="AD66" s="72">
        <f>U66*Tasas!$R$3</f>
        <v>0</v>
      </c>
      <c r="AE66" s="72">
        <f>+V66*Tasas!$R$4</f>
        <v>0</v>
      </c>
      <c r="AF66" s="72">
        <f>+W66*Tasas!$R$5</f>
        <v>0</v>
      </c>
      <c r="AG66" s="72">
        <v>0</v>
      </c>
      <c r="AH66" s="72">
        <f t="shared" si="1"/>
        <v>0</v>
      </c>
      <c r="AI66" s="72">
        <f t="shared" si="2"/>
        <v>0</v>
      </c>
      <c r="AJ66" s="72"/>
      <c r="AK66" s="60">
        <f t="shared" si="3"/>
        <v>0</v>
      </c>
      <c r="AL66" s="60">
        <f t="shared" si="4"/>
        <v>0</v>
      </c>
      <c r="AM66" s="60">
        <f t="shared" si="5"/>
        <v>0</v>
      </c>
      <c r="AN66" s="60">
        <f t="shared" si="6"/>
        <v>0</v>
      </c>
      <c r="AO66" s="60">
        <f t="shared" si="7"/>
        <v>0</v>
      </c>
      <c r="AP66" s="60">
        <f t="shared" si="8"/>
        <v>0</v>
      </c>
      <c r="AQ66" s="60">
        <f t="shared" si="9"/>
        <v>0</v>
      </c>
      <c r="AR66" s="60">
        <f t="shared" si="10"/>
        <v>0</v>
      </c>
      <c r="AS66" s="60">
        <f t="shared" si="11"/>
        <v>0</v>
      </c>
      <c r="AT66" s="130">
        <f t="shared" si="12"/>
        <v>0</v>
      </c>
    </row>
    <row r="67" spans="14:46">
      <c r="N67">
        <f t="shared" si="13"/>
        <v>115</v>
      </c>
      <c r="O67" s="1">
        <f t="shared" si="22"/>
        <v>0</v>
      </c>
      <c r="P67" s="1">
        <f t="shared" si="14"/>
        <v>0</v>
      </c>
      <c r="Q67" s="1">
        <f t="shared" si="15"/>
        <v>0</v>
      </c>
      <c r="R67" s="1">
        <f t="shared" si="16"/>
        <v>0</v>
      </c>
      <c r="S67" s="1">
        <f t="shared" si="17"/>
        <v>0</v>
      </c>
      <c r="T67" s="1">
        <f t="shared" si="18"/>
        <v>0</v>
      </c>
      <c r="U67" s="1">
        <f t="shared" si="19"/>
        <v>0</v>
      </c>
      <c r="V67" s="1">
        <f t="shared" si="20"/>
        <v>0</v>
      </c>
      <c r="W67" s="1">
        <f t="shared" si="21"/>
        <v>0</v>
      </c>
      <c r="X67" s="72">
        <f>IF($B$1="M",(VLOOKUP(N67,Tasas!$A$3:$C$65,2)*O67),(VLOOKUP(N67,Tasas!$A$3:$C$65,3)*O67))</f>
        <v>0</v>
      </c>
      <c r="Y67" s="60">
        <f>IF($B$1="M",(VLOOKUP(N67,Tasas!$A$3:$C$65,2)*P67),(VLOOKUP(N67,Tasas!$A$3:$C$65,3)*P67))</f>
        <v>0</v>
      </c>
      <c r="Z67" s="72">
        <f>IF($B$1="M",(VLOOKUP(N67,Tasas!$M$3:$O$55,2)*Q67),(VLOOKUP(N67,Tasas!$M$3:$O$55,3)*Q67))</f>
        <v>0</v>
      </c>
      <c r="AA67" s="72">
        <f>IF($B$1="M",(VLOOKUP(N67,Tasas!$E$3:$G$55,2)*R67),(VLOOKUP(N67,Tasas!$E$3:$G$55,3)*R67))</f>
        <v>0</v>
      </c>
      <c r="AB67" s="72">
        <f>IF($B$1="M",(VLOOKUP(N67,Tasas!$I$3:$K$55,2)*S67),(VLOOKUP(N67,Tasas!$I$3:$K$55,3)*S67))</f>
        <v>0</v>
      </c>
      <c r="AC67" s="72">
        <f>+T67*Tasas!$R$2</f>
        <v>0</v>
      </c>
      <c r="AD67" s="72">
        <f>U67*Tasas!$R$3</f>
        <v>0</v>
      </c>
      <c r="AE67" s="72">
        <f>+V67*Tasas!$R$4</f>
        <v>0</v>
      </c>
      <c r="AF67" s="72">
        <f>+W67*Tasas!$R$5</f>
        <v>0</v>
      </c>
      <c r="AG67" s="72">
        <v>0</v>
      </c>
      <c r="AH67" s="72">
        <f t="shared" si="1"/>
        <v>0</v>
      </c>
      <c r="AI67" s="72">
        <f t="shared" si="2"/>
        <v>0</v>
      </c>
      <c r="AJ67" s="72"/>
      <c r="AK67" s="60">
        <f t="shared" si="3"/>
        <v>0</v>
      </c>
      <c r="AL67" s="60">
        <f t="shared" si="4"/>
        <v>0</v>
      </c>
      <c r="AM67" s="60">
        <f t="shared" si="5"/>
        <v>0</v>
      </c>
      <c r="AN67" s="60">
        <f t="shared" si="6"/>
        <v>0</v>
      </c>
      <c r="AO67" s="60">
        <f t="shared" si="7"/>
        <v>0</v>
      </c>
      <c r="AP67" s="60">
        <f t="shared" si="8"/>
        <v>0</v>
      </c>
      <c r="AQ67" s="60">
        <f t="shared" si="9"/>
        <v>0</v>
      </c>
      <c r="AR67" s="60">
        <f t="shared" si="10"/>
        <v>0</v>
      </c>
      <c r="AS67" s="60">
        <f t="shared" si="11"/>
        <v>0</v>
      </c>
      <c r="AT67" s="130">
        <f t="shared" si="12"/>
        <v>0</v>
      </c>
    </row>
    <row r="68" spans="14:46">
      <c r="N68">
        <f t="shared" si="13"/>
        <v>116</v>
      </c>
      <c r="O68" s="1">
        <f t="shared" si="22"/>
        <v>0</v>
      </c>
      <c r="P68" s="1">
        <f t="shared" si="14"/>
        <v>0</v>
      </c>
      <c r="Q68" s="1">
        <f t="shared" si="15"/>
        <v>0</v>
      </c>
      <c r="R68" s="1">
        <f t="shared" si="16"/>
        <v>0</v>
      </c>
      <c r="S68" s="1">
        <f t="shared" si="17"/>
        <v>0</v>
      </c>
      <c r="T68" s="1">
        <f t="shared" si="18"/>
        <v>0</v>
      </c>
      <c r="U68" s="1">
        <f t="shared" si="19"/>
        <v>0</v>
      </c>
      <c r="V68" s="1">
        <f t="shared" si="20"/>
        <v>0</v>
      </c>
      <c r="W68" s="1">
        <f t="shared" si="21"/>
        <v>0</v>
      </c>
      <c r="X68" s="72">
        <f>IF($B$1="M",(VLOOKUP(N68,Tasas!$A$3:$C$65,2)*O68),(VLOOKUP(N68,Tasas!$A$3:$C$65,3)*O68))</f>
        <v>0</v>
      </c>
      <c r="Y68" s="60">
        <f>IF($B$1="M",(VLOOKUP(N68,Tasas!$A$3:$C$65,2)*P68),(VLOOKUP(N68,Tasas!$A$3:$C$65,3)*P68))</f>
        <v>0</v>
      </c>
      <c r="Z68" s="72">
        <f>IF($B$1="M",(VLOOKUP(N68,Tasas!$M$3:$O$55,2)*Q68),(VLOOKUP(N68,Tasas!$M$3:$O$55,3)*Q68))</f>
        <v>0</v>
      </c>
      <c r="AA68" s="72">
        <f>IF($B$1="M",(VLOOKUP(N68,Tasas!$E$3:$G$55,2)*R68),(VLOOKUP(N68,Tasas!$E$3:$G$55,3)*R68))</f>
        <v>0</v>
      </c>
      <c r="AB68" s="72">
        <f>IF($B$1="M",(VLOOKUP(N68,Tasas!$I$3:$K$55,2)*S68),(VLOOKUP(N68,Tasas!$I$3:$K$55,3)*S68))</f>
        <v>0</v>
      </c>
      <c r="AC68" s="72">
        <f>+T68*Tasas!$R$2</f>
        <v>0</v>
      </c>
      <c r="AD68" s="72">
        <f>U68*Tasas!$R$3</f>
        <v>0</v>
      </c>
      <c r="AE68" s="72">
        <f>+V68*Tasas!$R$4</f>
        <v>0</v>
      </c>
      <c r="AF68" s="72">
        <f>+W68*Tasas!$R$5</f>
        <v>0</v>
      </c>
      <c r="AG68" s="72">
        <v>0</v>
      </c>
      <c r="AH68" s="72">
        <f t="shared" ref="AH68:AH84" si="23">SUM(X68:AG68)</f>
        <v>0</v>
      </c>
      <c r="AI68" s="72">
        <f t="shared" ref="AI68:AI84" si="24">+AH68-(X68*0.4)</f>
        <v>0</v>
      </c>
      <c r="AJ68" s="72"/>
      <c r="AK68" s="60">
        <f t="shared" ref="AK68:AK84" si="25">+X68*(1+$AK$1)</f>
        <v>0</v>
      </c>
      <c r="AL68" s="60">
        <f t="shared" ref="AL68:AL84" si="26">+Y68*(1+$AL$1)</f>
        <v>0</v>
      </c>
      <c r="AM68" s="60">
        <f t="shared" ref="AM68:AM84" si="27">+Z68*(1+$AM$1)</f>
        <v>0</v>
      </c>
      <c r="AN68" s="60">
        <f t="shared" ref="AN68:AN84" si="28">+AA68*(1+$AN$1)</f>
        <v>0</v>
      </c>
      <c r="AO68" s="60">
        <f t="shared" ref="AO68:AO84" si="29">+AB68*(1+$AO$1)</f>
        <v>0</v>
      </c>
      <c r="AP68" s="60">
        <f t="shared" ref="AP68:AP84" si="30">+AC68*(1+$AP$1)</f>
        <v>0</v>
      </c>
      <c r="AQ68" s="60">
        <f t="shared" ref="AQ68:AQ84" si="31">+AD68*(1+$AQ$1)</f>
        <v>0</v>
      </c>
      <c r="AR68" s="60">
        <f t="shared" ref="AR68:AR84" si="32">+AE68*(1+$AR$1)</f>
        <v>0</v>
      </c>
      <c r="AS68" s="60">
        <f t="shared" ref="AS68:AS84" si="33">+AF68*(1+$AS$1)</f>
        <v>0</v>
      </c>
      <c r="AT68" s="130">
        <f t="shared" ref="AT68:AT84" si="34">SUM(AK68:AS68)</f>
        <v>0</v>
      </c>
    </row>
    <row r="69" spans="14:46">
      <c r="N69">
        <f t="shared" ref="N69:N84" si="35">+N68+1</f>
        <v>117</v>
      </c>
      <c r="O69" s="1">
        <f t="shared" si="22"/>
        <v>0</v>
      </c>
      <c r="P69" s="1">
        <f t="shared" ref="P69:P84" si="36">IF(N69&lt;80,P68+$E$5,0)</f>
        <v>0</v>
      </c>
      <c r="Q69" s="1">
        <f t="shared" ref="Q69:Q84" si="37">IF(N69&lt;70,Q68+$E$6,0)</f>
        <v>0</v>
      </c>
      <c r="R69" s="1">
        <f t="shared" ref="R69:R84" si="38">IF(N69&lt;70,R68+$E$7,0)</f>
        <v>0</v>
      </c>
      <c r="S69" s="1">
        <f t="shared" ref="S69:S84" si="39">IF(N69&lt;70,S68+$E$8,0)</f>
        <v>0</v>
      </c>
      <c r="T69" s="1">
        <f t="shared" ref="T69:T84" si="40">IF(N69&lt;70,T68+$E$9,0)</f>
        <v>0</v>
      </c>
      <c r="U69" s="1">
        <f t="shared" ref="U69:U84" si="41">IF(N69&lt;70,U68,0)</f>
        <v>0</v>
      </c>
      <c r="V69" s="1">
        <f t="shared" ref="V69:V84" si="42">IF(N69&lt;70,V68,0)</f>
        <v>0</v>
      </c>
      <c r="W69" s="1">
        <f t="shared" ref="W69:W84" si="43">IF(N69&lt;70,W68,0)</f>
        <v>0</v>
      </c>
      <c r="X69" s="72">
        <f>IF($B$1="M",(VLOOKUP(N69,Tasas!$A$3:$C$65,2)*O69),(VLOOKUP(N69,Tasas!$A$3:$C$65,3)*O69))</f>
        <v>0</v>
      </c>
      <c r="Y69" s="60">
        <f>IF($B$1="M",(VLOOKUP(N69,Tasas!$A$3:$C$65,2)*P69),(VLOOKUP(N69,Tasas!$A$3:$C$65,3)*P69))</f>
        <v>0</v>
      </c>
      <c r="Z69" s="72">
        <f>IF($B$1="M",(VLOOKUP(N69,Tasas!$M$3:$O$55,2)*Q69),(VLOOKUP(N69,Tasas!$M$3:$O$55,3)*Q69))</f>
        <v>0</v>
      </c>
      <c r="AA69" s="72">
        <f>IF($B$1="M",(VLOOKUP(N69,Tasas!$E$3:$G$55,2)*R69),(VLOOKUP(N69,Tasas!$E$3:$G$55,3)*R69))</f>
        <v>0</v>
      </c>
      <c r="AB69" s="72">
        <f>IF($B$1="M",(VLOOKUP(N69,Tasas!$I$3:$K$55,2)*S69),(VLOOKUP(N69,Tasas!$I$3:$K$55,3)*S69))</f>
        <v>0</v>
      </c>
      <c r="AC69" s="72">
        <f>+T69*Tasas!$R$2</f>
        <v>0</v>
      </c>
      <c r="AD69" s="72">
        <f>U69*Tasas!$R$3</f>
        <v>0</v>
      </c>
      <c r="AE69" s="72">
        <f>+V69*Tasas!$R$4</f>
        <v>0</v>
      </c>
      <c r="AF69" s="72">
        <f>+W69*Tasas!$R$5</f>
        <v>0</v>
      </c>
      <c r="AG69" s="72">
        <v>0</v>
      </c>
      <c r="AH69" s="72">
        <f t="shared" si="23"/>
        <v>0</v>
      </c>
      <c r="AI69" s="72">
        <f t="shared" si="24"/>
        <v>0</v>
      </c>
      <c r="AJ69" s="72"/>
      <c r="AK69" s="60">
        <f t="shared" si="25"/>
        <v>0</v>
      </c>
      <c r="AL69" s="60">
        <f t="shared" si="26"/>
        <v>0</v>
      </c>
      <c r="AM69" s="60">
        <f t="shared" si="27"/>
        <v>0</v>
      </c>
      <c r="AN69" s="60">
        <f t="shared" si="28"/>
        <v>0</v>
      </c>
      <c r="AO69" s="60">
        <f t="shared" si="29"/>
        <v>0</v>
      </c>
      <c r="AP69" s="60">
        <f t="shared" si="30"/>
        <v>0</v>
      </c>
      <c r="AQ69" s="60">
        <f t="shared" si="31"/>
        <v>0</v>
      </c>
      <c r="AR69" s="60">
        <f t="shared" si="32"/>
        <v>0</v>
      </c>
      <c r="AS69" s="60">
        <f t="shared" si="33"/>
        <v>0</v>
      </c>
      <c r="AT69" s="130">
        <f t="shared" si="34"/>
        <v>0</v>
      </c>
    </row>
    <row r="70" spans="14:46">
      <c r="N70">
        <f t="shared" si="35"/>
        <v>118</v>
      </c>
      <c r="O70" s="1">
        <f t="shared" ref="O70:O84" si="44">IF(N70&lt;80,O69+$E$4,0)</f>
        <v>0</v>
      </c>
      <c r="P70" s="1">
        <f t="shared" si="36"/>
        <v>0</v>
      </c>
      <c r="Q70" s="1">
        <f t="shared" si="37"/>
        <v>0</v>
      </c>
      <c r="R70" s="1">
        <f t="shared" si="38"/>
        <v>0</v>
      </c>
      <c r="S70" s="1">
        <f t="shared" si="39"/>
        <v>0</v>
      </c>
      <c r="T70" s="1">
        <f t="shared" si="40"/>
        <v>0</v>
      </c>
      <c r="U70" s="1">
        <f t="shared" si="41"/>
        <v>0</v>
      </c>
      <c r="V70" s="1">
        <f t="shared" si="42"/>
        <v>0</v>
      </c>
      <c r="W70" s="1">
        <f t="shared" si="43"/>
        <v>0</v>
      </c>
      <c r="X70" s="72">
        <f>IF($B$1="M",(VLOOKUP(N70,Tasas!$A$3:$C$65,2)*O70),(VLOOKUP(N70,Tasas!$A$3:$C$65,3)*O70))</f>
        <v>0</v>
      </c>
      <c r="Y70" s="60">
        <f>IF($B$1="M",(VLOOKUP(N70,Tasas!$A$3:$C$65,2)*P70),(VLOOKUP(N70,Tasas!$A$3:$C$65,3)*P70))</f>
        <v>0</v>
      </c>
      <c r="Z70" s="72">
        <f>IF($B$1="M",(VLOOKUP(N70,Tasas!$M$3:$O$55,2)*Q70),(VLOOKUP(N70,Tasas!$M$3:$O$55,3)*Q70))</f>
        <v>0</v>
      </c>
      <c r="AA70" s="72">
        <f>IF($B$1="M",(VLOOKUP(N70,Tasas!$E$3:$G$55,2)*R70),(VLOOKUP(N70,Tasas!$E$3:$G$55,3)*R70))</f>
        <v>0</v>
      </c>
      <c r="AB70" s="72">
        <f>IF($B$1="M",(VLOOKUP(N70,Tasas!$I$3:$K$55,2)*S70),(VLOOKUP(N70,Tasas!$I$3:$K$55,3)*S70))</f>
        <v>0</v>
      </c>
      <c r="AC70" s="72">
        <f>+T70*Tasas!$R$2</f>
        <v>0</v>
      </c>
      <c r="AD70" s="72">
        <f>U70*Tasas!$R$3</f>
        <v>0</v>
      </c>
      <c r="AE70" s="72">
        <f>+V70*Tasas!$R$4</f>
        <v>0</v>
      </c>
      <c r="AF70" s="72">
        <f>+W70*Tasas!$R$5</f>
        <v>0</v>
      </c>
      <c r="AG70" s="72">
        <v>0</v>
      </c>
      <c r="AH70" s="72">
        <f t="shared" si="23"/>
        <v>0</v>
      </c>
      <c r="AI70" s="72">
        <f t="shared" si="24"/>
        <v>0</v>
      </c>
      <c r="AJ70" s="72"/>
      <c r="AK70" s="60">
        <f t="shared" si="25"/>
        <v>0</v>
      </c>
      <c r="AL70" s="60">
        <f t="shared" si="26"/>
        <v>0</v>
      </c>
      <c r="AM70" s="60">
        <f t="shared" si="27"/>
        <v>0</v>
      </c>
      <c r="AN70" s="60">
        <f t="shared" si="28"/>
        <v>0</v>
      </c>
      <c r="AO70" s="60">
        <f t="shared" si="29"/>
        <v>0</v>
      </c>
      <c r="AP70" s="60">
        <f t="shared" si="30"/>
        <v>0</v>
      </c>
      <c r="AQ70" s="60">
        <f t="shared" si="31"/>
        <v>0</v>
      </c>
      <c r="AR70" s="60">
        <f t="shared" si="32"/>
        <v>0</v>
      </c>
      <c r="AS70" s="60">
        <f t="shared" si="33"/>
        <v>0</v>
      </c>
      <c r="AT70" s="130">
        <f t="shared" si="34"/>
        <v>0</v>
      </c>
    </row>
    <row r="71" spans="14:46">
      <c r="N71">
        <f t="shared" si="35"/>
        <v>119</v>
      </c>
      <c r="O71" s="1">
        <f t="shared" si="44"/>
        <v>0</v>
      </c>
      <c r="P71" s="1">
        <f t="shared" si="36"/>
        <v>0</v>
      </c>
      <c r="Q71" s="1">
        <f t="shared" si="37"/>
        <v>0</v>
      </c>
      <c r="R71" s="1">
        <f t="shared" si="38"/>
        <v>0</v>
      </c>
      <c r="S71" s="1">
        <f t="shared" si="39"/>
        <v>0</v>
      </c>
      <c r="T71" s="1">
        <f t="shared" si="40"/>
        <v>0</v>
      </c>
      <c r="U71" s="1">
        <f t="shared" si="41"/>
        <v>0</v>
      </c>
      <c r="V71" s="1">
        <f t="shared" si="42"/>
        <v>0</v>
      </c>
      <c r="W71" s="1">
        <f t="shared" si="43"/>
        <v>0</v>
      </c>
      <c r="X71" s="72">
        <f>IF($B$1="M",(VLOOKUP(N71,Tasas!$A$3:$C$65,2)*O71),(VLOOKUP(N71,Tasas!$A$3:$C$65,3)*O71))</f>
        <v>0</v>
      </c>
      <c r="Y71" s="60">
        <f>IF($B$1="M",(VLOOKUP(N71,Tasas!$A$3:$C$65,2)*P71),(VLOOKUP(N71,Tasas!$A$3:$C$65,3)*P71))</f>
        <v>0</v>
      </c>
      <c r="Z71" s="72">
        <f>IF($B$1="M",(VLOOKUP(N71,Tasas!$M$3:$O$55,2)*Q71),(VLOOKUP(N71,Tasas!$M$3:$O$55,3)*Q71))</f>
        <v>0</v>
      </c>
      <c r="AA71" s="72">
        <f>IF($B$1="M",(VLOOKUP(N71,Tasas!$E$3:$G$55,2)*R71),(VLOOKUP(N71,Tasas!$E$3:$G$55,3)*R71))</f>
        <v>0</v>
      </c>
      <c r="AB71" s="72">
        <f>IF($B$1="M",(VLOOKUP(N71,Tasas!$I$3:$K$55,2)*S71),(VLOOKUP(N71,Tasas!$I$3:$K$55,3)*S71))</f>
        <v>0</v>
      </c>
      <c r="AC71" s="72">
        <f>+T71*Tasas!$R$2</f>
        <v>0</v>
      </c>
      <c r="AD71" s="72">
        <f>U71*Tasas!$R$3</f>
        <v>0</v>
      </c>
      <c r="AE71" s="72">
        <f>+V71*Tasas!$R$4</f>
        <v>0</v>
      </c>
      <c r="AF71" s="72">
        <f>+W71*Tasas!$R$5</f>
        <v>0</v>
      </c>
      <c r="AG71" s="72">
        <v>0</v>
      </c>
      <c r="AH71" s="72">
        <f t="shared" si="23"/>
        <v>0</v>
      </c>
      <c r="AI71" s="72">
        <f t="shared" si="24"/>
        <v>0</v>
      </c>
      <c r="AJ71" s="72"/>
      <c r="AK71" s="60">
        <f t="shared" si="25"/>
        <v>0</v>
      </c>
      <c r="AL71" s="60">
        <f t="shared" si="26"/>
        <v>0</v>
      </c>
      <c r="AM71" s="60">
        <f t="shared" si="27"/>
        <v>0</v>
      </c>
      <c r="AN71" s="60">
        <f t="shared" si="28"/>
        <v>0</v>
      </c>
      <c r="AO71" s="60">
        <f t="shared" si="29"/>
        <v>0</v>
      </c>
      <c r="AP71" s="60">
        <f t="shared" si="30"/>
        <v>0</v>
      </c>
      <c r="AQ71" s="60">
        <f t="shared" si="31"/>
        <v>0</v>
      </c>
      <c r="AR71" s="60">
        <f t="shared" si="32"/>
        <v>0</v>
      </c>
      <c r="AS71" s="60">
        <f t="shared" si="33"/>
        <v>0</v>
      </c>
      <c r="AT71" s="130">
        <f t="shared" si="34"/>
        <v>0</v>
      </c>
    </row>
    <row r="72" spans="14:46">
      <c r="N72">
        <f t="shared" si="35"/>
        <v>120</v>
      </c>
      <c r="O72" s="1">
        <f t="shared" si="44"/>
        <v>0</v>
      </c>
      <c r="P72" s="1">
        <f t="shared" si="36"/>
        <v>0</v>
      </c>
      <c r="Q72" s="1">
        <f t="shared" si="37"/>
        <v>0</v>
      </c>
      <c r="R72" s="1">
        <f t="shared" si="38"/>
        <v>0</v>
      </c>
      <c r="S72" s="1">
        <f t="shared" si="39"/>
        <v>0</v>
      </c>
      <c r="T72" s="1">
        <f t="shared" si="40"/>
        <v>0</v>
      </c>
      <c r="U72" s="1">
        <f t="shared" si="41"/>
        <v>0</v>
      </c>
      <c r="V72" s="1">
        <f t="shared" si="42"/>
        <v>0</v>
      </c>
      <c r="W72" s="1">
        <f t="shared" si="43"/>
        <v>0</v>
      </c>
      <c r="X72" s="72">
        <f>IF($B$1="M",(VLOOKUP(N72,Tasas!$A$3:$C$65,2)*O72),(VLOOKUP(N72,Tasas!$A$3:$C$65,3)*O72))</f>
        <v>0</v>
      </c>
      <c r="Y72" s="60">
        <f>IF($B$1="M",(VLOOKUP(N72,Tasas!$A$3:$C$65,2)*P72),(VLOOKUP(N72,Tasas!$A$3:$C$65,3)*P72))</f>
        <v>0</v>
      </c>
      <c r="Z72" s="72">
        <f>IF($B$1="M",(VLOOKUP(N72,Tasas!$M$3:$O$55,2)*Q72),(VLOOKUP(N72,Tasas!$M$3:$O$55,3)*Q72))</f>
        <v>0</v>
      </c>
      <c r="AA72" s="72">
        <f>IF($B$1="M",(VLOOKUP(N72,Tasas!$E$3:$G$55,2)*R72),(VLOOKUP(N72,Tasas!$E$3:$G$55,3)*R72))</f>
        <v>0</v>
      </c>
      <c r="AB72" s="72">
        <f>IF($B$1="M",(VLOOKUP(N72,Tasas!$I$3:$K$55,2)*S72),(VLOOKUP(N72,Tasas!$I$3:$K$55,3)*S72))</f>
        <v>0</v>
      </c>
      <c r="AC72" s="72">
        <f>+T72*Tasas!$R$2</f>
        <v>0</v>
      </c>
      <c r="AD72" s="72">
        <f>U72*Tasas!$R$3</f>
        <v>0</v>
      </c>
      <c r="AE72" s="72">
        <f>+V72*Tasas!$R$4</f>
        <v>0</v>
      </c>
      <c r="AF72" s="72">
        <f>+W72*Tasas!$R$5</f>
        <v>0</v>
      </c>
      <c r="AG72" s="72">
        <v>0</v>
      </c>
      <c r="AH72" s="72">
        <f t="shared" si="23"/>
        <v>0</v>
      </c>
      <c r="AI72" s="72">
        <f t="shared" si="24"/>
        <v>0</v>
      </c>
      <c r="AJ72" s="72"/>
      <c r="AK72" s="60">
        <f t="shared" si="25"/>
        <v>0</v>
      </c>
      <c r="AL72" s="60">
        <f t="shared" si="26"/>
        <v>0</v>
      </c>
      <c r="AM72" s="60">
        <f t="shared" si="27"/>
        <v>0</v>
      </c>
      <c r="AN72" s="60">
        <f t="shared" si="28"/>
        <v>0</v>
      </c>
      <c r="AO72" s="60">
        <f t="shared" si="29"/>
        <v>0</v>
      </c>
      <c r="AP72" s="60">
        <f t="shared" si="30"/>
        <v>0</v>
      </c>
      <c r="AQ72" s="60">
        <f t="shared" si="31"/>
        <v>0</v>
      </c>
      <c r="AR72" s="60">
        <f t="shared" si="32"/>
        <v>0</v>
      </c>
      <c r="AS72" s="60">
        <f t="shared" si="33"/>
        <v>0</v>
      </c>
      <c r="AT72" s="130">
        <f t="shared" si="34"/>
        <v>0</v>
      </c>
    </row>
    <row r="73" spans="14:46">
      <c r="N73">
        <f t="shared" si="35"/>
        <v>121</v>
      </c>
      <c r="O73" s="1">
        <f t="shared" si="44"/>
        <v>0</v>
      </c>
      <c r="P73" s="1">
        <f t="shared" si="36"/>
        <v>0</v>
      </c>
      <c r="Q73" s="1">
        <f t="shared" si="37"/>
        <v>0</v>
      </c>
      <c r="R73" s="1">
        <f t="shared" si="38"/>
        <v>0</v>
      </c>
      <c r="S73" s="1">
        <f t="shared" si="39"/>
        <v>0</v>
      </c>
      <c r="T73" s="1">
        <f t="shared" si="40"/>
        <v>0</v>
      </c>
      <c r="U73" s="1">
        <f t="shared" si="41"/>
        <v>0</v>
      </c>
      <c r="V73" s="1">
        <f t="shared" si="42"/>
        <v>0</v>
      </c>
      <c r="W73" s="1">
        <f t="shared" si="43"/>
        <v>0</v>
      </c>
      <c r="X73" s="72">
        <f>IF($B$1="M",(VLOOKUP(N73,Tasas!$A$3:$C$65,2)*O73),(VLOOKUP(N73,Tasas!$A$3:$C$65,3)*O73))</f>
        <v>0</v>
      </c>
      <c r="Y73" s="60">
        <f>IF($B$1="M",(VLOOKUP(N73,Tasas!$A$3:$C$65,2)*P73),(VLOOKUP(N73,Tasas!$A$3:$C$65,3)*P73))</f>
        <v>0</v>
      </c>
      <c r="Z73" s="72">
        <f>IF($B$1="M",(VLOOKUP(N73,Tasas!$M$3:$O$55,2)*Q73),(VLOOKUP(N73,Tasas!$M$3:$O$55,3)*Q73))</f>
        <v>0</v>
      </c>
      <c r="AA73" s="72">
        <f>IF($B$1="M",(VLOOKUP(N73,Tasas!$E$3:$G$55,2)*R73),(VLOOKUP(N73,Tasas!$E$3:$G$55,3)*R73))</f>
        <v>0</v>
      </c>
      <c r="AB73" s="72">
        <f>IF($B$1="M",(VLOOKUP(N73,Tasas!$I$3:$K$55,2)*S73),(VLOOKUP(N73,Tasas!$I$3:$K$55,3)*S73))</f>
        <v>0</v>
      </c>
      <c r="AC73" s="72">
        <f>+T73*Tasas!$R$2</f>
        <v>0</v>
      </c>
      <c r="AD73" s="72">
        <f>U73*Tasas!$R$3</f>
        <v>0</v>
      </c>
      <c r="AE73" s="72">
        <f>+V73*Tasas!$R$4</f>
        <v>0</v>
      </c>
      <c r="AF73" s="72">
        <f>+W73*Tasas!$R$5</f>
        <v>0</v>
      </c>
      <c r="AG73" s="72">
        <v>0</v>
      </c>
      <c r="AH73" s="72">
        <f t="shared" si="23"/>
        <v>0</v>
      </c>
      <c r="AI73" s="72">
        <f t="shared" si="24"/>
        <v>0</v>
      </c>
      <c r="AJ73" s="72"/>
      <c r="AK73" s="60">
        <f t="shared" si="25"/>
        <v>0</v>
      </c>
      <c r="AL73" s="60">
        <f t="shared" si="26"/>
        <v>0</v>
      </c>
      <c r="AM73" s="60">
        <f t="shared" si="27"/>
        <v>0</v>
      </c>
      <c r="AN73" s="60">
        <f t="shared" si="28"/>
        <v>0</v>
      </c>
      <c r="AO73" s="60">
        <f t="shared" si="29"/>
        <v>0</v>
      </c>
      <c r="AP73" s="60">
        <f t="shared" si="30"/>
        <v>0</v>
      </c>
      <c r="AQ73" s="60">
        <f t="shared" si="31"/>
        <v>0</v>
      </c>
      <c r="AR73" s="60">
        <f t="shared" si="32"/>
        <v>0</v>
      </c>
      <c r="AS73" s="60">
        <f t="shared" si="33"/>
        <v>0</v>
      </c>
      <c r="AT73" s="130">
        <f t="shared" si="34"/>
        <v>0</v>
      </c>
    </row>
    <row r="74" spans="14:46">
      <c r="N74">
        <f t="shared" si="35"/>
        <v>122</v>
      </c>
      <c r="O74" s="1">
        <f t="shared" si="44"/>
        <v>0</v>
      </c>
      <c r="P74" s="1">
        <f t="shared" si="36"/>
        <v>0</v>
      </c>
      <c r="Q74" s="1">
        <f t="shared" si="37"/>
        <v>0</v>
      </c>
      <c r="R74" s="1">
        <f t="shared" si="38"/>
        <v>0</v>
      </c>
      <c r="S74" s="1">
        <f t="shared" si="39"/>
        <v>0</v>
      </c>
      <c r="T74" s="1">
        <f t="shared" si="40"/>
        <v>0</v>
      </c>
      <c r="U74" s="1">
        <f t="shared" si="41"/>
        <v>0</v>
      </c>
      <c r="V74" s="1">
        <f t="shared" si="42"/>
        <v>0</v>
      </c>
      <c r="W74" s="1">
        <f t="shared" si="43"/>
        <v>0</v>
      </c>
      <c r="X74" s="72">
        <f>IF($B$1="M",(VLOOKUP(N74,Tasas!$A$3:$C$65,2)*O74),(VLOOKUP(N74,Tasas!$A$3:$C$65,3)*O74))</f>
        <v>0</v>
      </c>
      <c r="Y74" s="60">
        <f>IF($B$1="M",(VLOOKUP(N74,Tasas!$A$3:$C$65,2)*P74),(VLOOKUP(N74,Tasas!$A$3:$C$65,3)*P74))</f>
        <v>0</v>
      </c>
      <c r="Z74" s="72">
        <f>IF($B$1="M",(VLOOKUP(N74,Tasas!$M$3:$O$55,2)*Q74),(VLOOKUP(N74,Tasas!$M$3:$O$55,3)*Q74))</f>
        <v>0</v>
      </c>
      <c r="AA74" s="72">
        <f>IF($B$1="M",(VLOOKUP(N74,Tasas!$E$3:$G$55,2)*R74),(VLOOKUP(N74,Tasas!$E$3:$G$55,3)*R74))</f>
        <v>0</v>
      </c>
      <c r="AB74" s="72">
        <f>IF($B$1="M",(VLOOKUP(N74,Tasas!$I$3:$K$55,2)*S74),(VLOOKUP(N74,Tasas!$I$3:$K$55,3)*S74))</f>
        <v>0</v>
      </c>
      <c r="AC74" s="72">
        <f>+T74*Tasas!$R$2</f>
        <v>0</v>
      </c>
      <c r="AD74" s="72">
        <f>U74*Tasas!$R$3</f>
        <v>0</v>
      </c>
      <c r="AE74" s="72">
        <f>+V74*Tasas!$R$4</f>
        <v>0</v>
      </c>
      <c r="AF74" s="72">
        <f>+W74*Tasas!$R$5</f>
        <v>0</v>
      </c>
      <c r="AG74" s="72">
        <v>0</v>
      </c>
      <c r="AH74" s="72">
        <f t="shared" si="23"/>
        <v>0</v>
      </c>
      <c r="AI74" s="72">
        <f t="shared" si="24"/>
        <v>0</v>
      </c>
      <c r="AJ74" s="72"/>
      <c r="AK74" s="60">
        <f t="shared" si="25"/>
        <v>0</v>
      </c>
      <c r="AL74" s="60">
        <f t="shared" si="26"/>
        <v>0</v>
      </c>
      <c r="AM74" s="60">
        <f t="shared" si="27"/>
        <v>0</v>
      </c>
      <c r="AN74" s="60">
        <f t="shared" si="28"/>
        <v>0</v>
      </c>
      <c r="AO74" s="60">
        <f t="shared" si="29"/>
        <v>0</v>
      </c>
      <c r="AP74" s="60">
        <f t="shared" si="30"/>
        <v>0</v>
      </c>
      <c r="AQ74" s="60">
        <f t="shared" si="31"/>
        <v>0</v>
      </c>
      <c r="AR74" s="60">
        <f t="shared" si="32"/>
        <v>0</v>
      </c>
      <c r="AS74" s="60">
        <f t="shared" si="33"/>
        <v>0</v>
      </c>
      <c r="AT74" s="130">
        <f t="shared" si="34"/>
        <v>0</v>
      </c>
    </row>
    <row r="75" spans="14:46">
      <c r="N75">
        <f t="shared" si="35"/>
        <v>123</v>
      </c>
      <c r="O75" s="1">
        <f t="shared" si="44"/>
        <v>0</v>
      </c>
      <c r="P75" s="1">
        <f t="shared" si="36"/>
        <v>0</v>
      </c>
      <c r="Q75" s="1">
        <f t="shared" si="37"/>
        <v>0</v>
      </c>
      <c r="R75" s="1">
        <f t="shared" si="38"/>
        <v>0</v>
      </c>
      <c r="S75" s="1">
        <f t="shared" si="39"/>
        <v>0</v>
      </c>
      <c r="T75" s="1">
        <f t="shared" si="40"/>
        <v>0</v>
      </c>
      <c r="U75" s="1">
        <f t="shared" si="41"/>
        <v>0</v>
      </c>
      <c r="V75" s="1">
        <f t="shared" si="42"/>
        <v>0</v>
      </c>
      <c r="W75" s="1">
        <f t="shared" si="43"/>
        <v>0</v>
      </c>
      <c r="X75" s="72">
        <f>IF($B$1="M",(VLOOKUP(N75,Tasas!$A$3:$C$65,2)*O75),(VLOOKUP(N75,Tasas!$A$3:$C$65,3)*O75))</f>
        <v>0</v>
      </c>
      <c r="Y75" s="60">
        <f>IF($B$1="M",(VLOOKUP(N75,Tasas!$A$3:$C$65,2)*P75),(VLOOKUP(N75,Tasas!$A$3:$C$65,3)*P75))</f>
        <v>0</v>
      </c>
      <c r="Z75" s="72">
        <f>IF($B$1="M",(VLOOKUP(N75,Tasas!$M$3:$O$55,2)*Q75),(VLOOKUP(N75,Tasas!$M$3:$O$55,3)*Q75))</f>
        <v>0</v>
      </c>
      <c r="AA75" s="72">
        <f>IF($B$1="M",(VLOOKUP(N75,Tasas!$E$3:$G$55,2)*R75),(VLOOKUP(N75,Tasas!$E$3:$G$55,3)*R75))</f>
        <v>0</v>
      </c>
      <c r="AB75" s="72">
        <f>IF($B$1="M",(VLOOKUP(N75,Tasas!$I$3:$K$55,2)*S75),(VLOOKUP(N75,Tasas!$I$3:$K$55,3)*S75))</f>
        <v>0</v>
      </c>
      <c r="AC75" s="72">
        <f>+T75*Tasas!$R$2</f>
        <v>0</v>
      </c>
      <c r="AD75" s="72">
        <f>U75*Tasas!$R$3</f>
        <v>0</v>
      </c>
      <c r="AE75" s="72">
        <f>+V75*Tasas!$R$4</f>
        <v>0</v>
      </c>
      <c r="AF75" s="72">
        <f>+W75*Tasas!$R$5</f>
        <v>0</v>
      </c>
      <c r="AG75" s="72">
        <v>0</v>
      </c>
      <c r="AH75" s="72">
        <f t="shared" si="23"/>
        <v>0</v>
      </c>
      <c r="AI75" s="72">
        <f t="shared" si="24"/>
        <v>0</v>
      </c>
      <c r="AJ75" s="72"/>
      <c r="AK75" s="60">
        <f t="shared" si="25"/>
        <v>0</v>
      </c>
      <c r="AL75" s="60">
        <f t="shared" si="26"/>
        <v>0</v>
      </c>
      <c r="AM75" s="60">
        <f t="shared" si="27"/>
        <v>0</v>
      </c>
      <c r="AN75" s="60">
        <f t="shared" si="28"/>
        <v>0</v>
      </c>
      <c r="AO75" s="60">
        <f t="shared" si="29"/>
        <v>0</v>
      </c>
      <c r="AP75" s="60">
        <f t="shared" si="30"/>
        <v>0</v>
      </c>
      <c r="AQ75" s="60">
        <f t="shared" si="31"/>
        <v>0</v>
      </c>
      <c r="AR75" s="60">
        <f t="shared" si="32"/>
        <v>0</v>
      </c>
      <c r="AS75" s="60">
        <f t="shared" si="33"/>
        <v>0</v>
      </c>
      <c r="AT75" s="130">
        <f t="shared" si="34"/>
        <v>0</v>
      </c>
    </row>
    <row r="76" spans="14:46">
      <c r="N76">
        <f t="shared" si="35"/>
        <v>124</v>
      </c>
      <c r="O76" s="1">
        <f t="shared" si="44"/>
        <v>0</v>
      </c>
      <c r="P76" s="1">
        <f t="shared" si="36"/>
        <v>0</v>
      </c>
      <c r="Q76" s="1">
        <f t="shared" si="37"/>
        <v>0</v>
      </c>
      <c r="R76" s="1">
        <f t="shared" si="38"/>
        <v>0</v>
      </c>
      <c r="S76" s="1">
        <f t="shared" si="39"/>
        <v>0</v>
      </c>
      <c r="T76" s="1">
        <f t="shared" si="40"/>
        <v>0</v>
      </c>
      <c r="U76" s="1">
        <f t="shared" si="41"/>
        <v>0</v>
      </c>
      <c r="V76" s="1">
        <f t="shared" si="42"/>
        <v>0</v>
      </c>
      <c r="W76" s="1">
        <f t="shared" si="43"/>
        <v>0</v>
      </c>
      <c r="X76" s="72">
        <f>IF($B$1="M",(VLOOKUP(N76,Tasas!$A$3:$C$65,2)*O76),(VLOOKUP(N76,Tasas!$A$3:$C$65,3)*O76))</f>
        <v>0</v>
      </c>
      <c r="Y76" s="60">
        <f>IF($B$1="M",(VLOOKUP(N76,Tasas!$A$3:$C$65,2)*P76),(VLOOKUP(N76,Tasas!$A$3:$C$65,3)*P76))</f>
        <v>0</v>
      </c>
      <c r="Z76" s="72">
        <f>IF($B$1="M",(VLOOKUP(N76,Tasas!$M$3:$O$55,2)*Q76),(VLOOKUP(N76,Tasas!$M$3:$O$55,3)*Q76))</f>
        <v>0</v>
      </c>
      <c r="AA76" s="72">
        <f>IF($B$1="M",(VLOOKUP(N76,Tasas!$E$3:$G$55,2)*R76),(VLOOKUP(N76,Tasas!$E$3:$G$55,3)*R76))</f>
        <v>0</v>
      </c>
      <c r="AB76" s="72">
        <f>IF($B$1="M",(VLOOKUP(N76,Tasas!$I$3:$K$55,2)*S76),(VLOOKUP(N76,Tasas!$I$3:$K$55,3)*S76))</f>
        <v>0</v>
      </c>
      <c r="AC76" s="72">
        <f>+T76*Tasas!$R$2</f>
        <v>0</v>
      </c>
      <c r="AD76" s="72">
        <f>U76*Tasas!$R$3</f>
        <v>0</v>
      </c>
      <c r="AE76" s="72">
        <f>+V76*Tasas!$R$4</f>
        <v>0</v>
      </c>
      <c r="AF76" s="72">
        <f>+W76*Tasas!$R$5</f>
        <v>0</v>
      </c>
      <c r="AG76" s="72">
        <v>0</v>
      </c>
      <c r="AH76" s="72">
        <f t="shared" si="23"/>
        <v>0</v>
      </c>
      <c r="AI76" s="72">
        <f t="shared" si="24"/>
        <v>0</v>
      </c>
      <c r="AJ76" s="72"/>
      <c r="AK76" s="60">
        <f t="shared" si="25"/>
        <v>0</v>
      </c>
      <c r="AL76" s="60">
        <f t="shared" si="26"/>
        <v>0</v>
      </c>
      <c r="AM76" s="60">
        <f t="shared" si="27"/>
        <v>0</v>
      </c>
      <c r="AN76" s="60">
        <f t="shared" si="28"/>
        <v>0</v>
      </c>
      <c r="AO76" s="60">
        <f t="shared" si="29"/>
        <v>0</v>
      </c>
      <c r="AP76" s="60">
        <f t="shared" si="30"/>
        <v>0</v>
      </c>
      <c r="AQ76" s="60">
        <f t="shared" si="31"/>
        <v>0</v>
      </c>
      <c r="AR76" s="60">
        <f t="shared" si="32"/>
        <v>0</v>
      </c>
      <c r="AS76" s="60">
        <f t="shared" si="33"/>
        <v>0</v>
      </c>
      <c r="AT76" s="130">
        <f t="shared" si="34"/>
        <v>0</v>
      </c>
    </row>
    <row r="77" spans="14:46">
      <c r="N77">
        <f t="shared" si="35"/>
        <v>125</v>
      </c>
      <c r="O77" s="1">
        <f t="shared" si="44"/>
        <v>0</v>
      </c>
      <c r="P77" s="1">
        <f t="shared" si="36"/>
        <v>0</v>
      </c>
      <c r="Q77" s="1">
        <f t="shared" si="37"/>
        <v>0</v>
      </c>
      <c r="R77" s="1">
        <f t="shared" si="38"/>
        <v>0</v>
      </c>
      <c r="S77" s="1">
        <f t="shared" si="39"/>
        <v>0</v>
      </c>
      <c r="T77" s="1">
        <f t="shared" si="40"/>
        <v>0</v>
      </c>
      <c r="U77" s="1">
        <f t="shared" si="41"/>
        <v>0</v>
      </c>
      <c r="V77" s="1">
        <f t="shared" si="42"/>
        <v>0</v>
      </c>
      <c r="W77" s="1">
        <f t="shared" si="43"/>
        <v>0</v>
      </c>
      <c r="X77" s="72">
        <f>IF($B$1="M",(VLOOKUP(N77,Tasas!$A$3:$C$65,2)*O77),(VLOOKUP(N77,Tasas!$A$3:$C$65,3)*O77))</f>
        <v>0</v>
      </c>
      <c r="Y77" s="60">
        <f>IF($B$1="M",(VLOOKUP(N77,Tasas!$A$3:$C$65,2)*P77),(VLOOKUP(N77,Tasas!$A$3:$C$65,3)*P77))</f>
        <v>0</v>
      </c>
      <c r="Z77" s="72">
        <f>IF($B$1="M",(VLOOKUP(N77,Tasas!$M$3:$O$55,2)*Q77),(VLOOKUP(N77,Tasas!$M$3:$O$55,3)*Q77))</f>
        <v>0</v>
      </c>
      <c r="AA77" s="72">
        <f>IF($B$1="M",(VLOOKUP(N77,Tasas!$E$3:$G$55,2)*R77),(VLOOKUP(N77,Tasas!$E$3:$G$55,3)*R77))</f>
        <v>0</v>
      </c>
      <c r="AB77" s="72">
        <f>IF($B$1="M",(VLOOKUP(N77,Tasas!$I$3:$K$55,2)*S77),(VLOOKUP(N77,Tasas!$I$3:$K$55,3)*S77))</f>
        <v>0</v>
      </c>
      <c r="AC77" s="72">
        <f>+T77*Tasas!$R$2</f>
        <v>0</v>
      </c>
      <c r="AD77" s="72">
        <f>U77*Tasas!$R$3</f>
        <v>0</v>
      </c>
      <c r="AE77" s="72">
        <f>+V77*Tasas!$R$4</f>
        <v>0</v>
      </c>
      <c r="AF77" s="72">
        <f>+W77*Tasas!$R$5</f>
        <v>0</v>
      </c>
      <c r="AG77" s="72">
        <v>0</v>
      </c>
      <c r="AH77" s="72">
        <f t="shared" si="23"/>
        <v>0</v>
      </c>
      <c r="AI77" s="72">
        <f t="shared" si="24"/>
        <v>0</v>
      </c>
      <c r="AJ77" s="72"/>
      <c r="AK77" s="60">
        <f t="shared" si="25"/>
        <v>0</v>
      </c>
      <c r="AL77" s="60">
        <f t="shared" si="26"/>
        <v>0</v>
      </c>
      <c r="AM77" s="60">
        <f t="shared" si="27"/>
        <v>0</v>
      </c>
      <c r="AN77" s="60">
        <f t="shared" si="28"/>
        <v>0</v>
      </c>
      <c r="AO77" s="60">
        <f t="shared" si="29"/>
        <v>0</v>
      </c>
      <c r="AP77" s="60">
        <f t="shared" si="30"/>
        <v>0</v>
      </c>
      <c r="AQ77" s="60">
        <f t="shared" si="31"/>
        <v>0</v>
      </c>
      <c r="AR77" s="60">
        <f t="shared" si="32"/>
        <v>0</v>
      </c>
      <c r="AS77" s="60">
        <f t="shared" si="33"/>
        <v>0</v>
      </c>
      <c r="AT77" s="130">
        <f t="shared" si="34"/>
        <v>0</v>
      </c>
    </row>
    <row r="78" spans="14:46">
      <c r="N78">
        <f t="shared" si="35"/>
        <v>126</v>
      </c>
      <c r="O78" s="1">
        <f t="shared" si="44"/>
        <v>0</v>
      </c>
      <c r="P78" s="1">
        <f t="shared" si="36"/>
        <v>0</v>
      </c>
      <c r="Q78" s="1">
        <f t="shared" si="37"/>
        <v>0</v>
      </c>
      <c r="R78" s="1">
        <f t="shared" si="38"/>
        <v>0</v>
      </c>
      <c r="S78" s="1">
        <f t="shared" si="39"/>
        <v>0</v>
      </c>
      <c r="T78" s="1">
        <f t="shared" si="40"/>
        <v>0</v>
      </c>
      <c r="U78" s="1">
        <f t="shared" si="41"/>
        <v>0</v>
      </c>
      <c r="V78" s="1">
        <f t="shared" si="42"/>
        <v>0</v>
      </c>
      <c r="W78" s="1">
        <f t="shared" si="43"/>
        <v>0</v>
      </c>
      <c r="X78" s="72">
        <f>IF($B$1="M",(VLOOKUP(N78,Tasas!$A$3:$C$65,2)*O78),(VLOOKUP(N78,Tasas!$A$3:$C$65,3)*O78))</f>
        <v>0</v>
      </c>
      <c r="Y78" s="60">
        <f>IF($B$1="M",(VLOOKUP(N78,Tasas!$A$3:$C$65,2)*P78),(VLOOKUP(N78,Tasas!$A$3:$C$65,3)*P78))</f>
        <v>0</v>
      </c>
      <c r="Z78" s="72">
        <f>IF($B$1="M",(VLOOKUP(N78,Tasas!$M$3:$O$55,2)*Q78),(VLOOKUP(N78,Tasas!$M$3:$O$55,3)*Q78))</f>
        <v>0</v>
      </c>
      <c r="AA78" s="72">
        <f>IF($B$1="M",(VLOOKUP(N78,Tasas!$E$3:$G$55,2)*R78),(VLOOKUP(N78,Tasas!$E$3:$G$55,3)*R78))</f>
        <v>0</v>
      </c>
      <c r="AB78" s="72">
        <f>IF($B$1="M",(VLOOKUP(N78,Tasas!$I$3:$K$55,2)*S78),(VLOOKUP(N78,Tasas!$I$3:$K$55,3)*S78))</f>
        <v>0</v>
      </c>
      <c r="AC78" s="72">
        <f>+T78*Tasas!$R$2</f>
        <v>0</v>
      </c>
      <c r="AD78" s="72">
        <f>U78*Tasas!$R$3</f>
        <v>0</v>
      </c>
      <c r="AE78" s="72">
        <f>+V78*Tasas!$R$4</f>
        <v>0</v>
      </c>
      <c r="AF78" s="72">
        <f>+W78*Tasas!$R$5</f>
        <v>0</v>
      </c>
      <c r="AG78" s="72">
        <v>0</v>
      </c>
      <c r="AH78" s="72">
        <f t="shared" si="23"/>
        <v>0</v>
      </c>
      <c r="AI78" s="72">
        <f t="shared" si="24"/>
        <v>0</v>
      </c>
      <c r="AJ78" s="72"/>
      <c r="AK78" s="60">
        <f t="shared" si="25"/>
        <v>0</v>
      </c>
      <c r="AL78" s="60">
        <f t="shared" si="26"/>
        <v>0</v>
      </c>
      <c r="AM78" s="60">
        <f t="shared" si="27"/>
        <v>0</v>
      </c>
      <c r="AN78" s="60">
        <f t="shared" si="28"/>
        <v>0</v>
      </c>
      <c r="AO78" s="60">
        <f t="shared" si="29"/>
        <v>0</v>
      </c>
      <c r="AP78" s="60">
        <f t="shared" si="30"/>
        <v>0</v>
      </c>
      <c r="AQ78" s="60">
        <f t="shared" si="31"/>
        <v>0</v>
      </c>
      <c r="AR78" s="60">
        <f t="shared" si="32"/>
        <v>0</v>
      </c>
      <c r="AS78" s="60">
        <f t="shared" si="33"/>
        <v>0</v>
      </c>
      <c r="AT78" s="130">
        <f t="shared" si="34"/>
        <v>0</v>
      </c>
    </row>
    <row r="79" spans="14:46">
      <c r="N79">
        <f t="shared" si="35"/>
        <v>127</v>
      </c>
      <c r="O79" s="1">
        <f t="shared" si="44"/>
        <v>0</v>
      </c>
      <c r="P79" s="1">
        <f t="shared" si="36"/>
        <v>0</v>
      </c>
      <c r="Q79" s="1">
        <f t="shared" si="37"/>
        <v>0</v>
      </c>
      <c r="R79" s="1">
        <f t="shared" si="38"/>
        <v>0</v>
      </c>
      <c r="S79" s="1">
        <f t="shared" si="39"/>
        <v>0</v>
      </c>
      <c r="T79" s="1">
        <f t="shared" si="40"/>
        <v>0</v>
      </c>
      <c r="U79" s="1">
        <f t="shared" si="41"/>
        <v>0</v>
      </c>
      <c r="V79" s="1">
        <f t="shared" si="42"/>
        <v>0</v>
      </c>
      <c r="W79" s="1">
        <f t="shared" si="43"/>
        <v>0</v>
      </c>
      <c r="X79" s="72">
        <f>IF($B$1="M",(VLOOKUP(N79,Tasas!$A$3:$C$65,2)*O79),(VLOOKUP(N79,Tasas!$A$3:$C$65,3)*O79))</f>
        <v>0</v>
      </c>
      <c r="Y79" s="60">
        <f>IF($B$1="M",(VLOOKUP(N79,Tasas!$A$3:$C$65,2)*P79),(VLOOKUP(N79,Tasas!$A$3:$C$65,3)*P79))</f>
        <v>0</v>
      </c>
      <c r="Z79" s="72">
        <f>IF($B$1="M",(VLOOKUP(N79,Tasas!$M$3:$O$55,2)*Q79),(VLOOKUP(N79,Tasas!$M$3:$O$55,3)*Q79))</f>
        <v>0</v>
      </c>
      <c r="AA79" s="72">
        <f>IF($B$1="M",(VLOOKUP(N79,Tasas!$E$3:$G$55,2)*R79),(VLOOKUP(N79,Tasas!$E$3:$G$55,3)*R79))</f>
        <v>0</v>
      </c>
      <c r="AB79" s="72">
        <f>IF($B$1="M",(VLOOKUP(N79,Tasas!$I$3:$K$55,2)*S79),(VLOOKUP(N79,Tasas!$I$3:$K$55,3)*S79))</f>
        <v>0</v>
      </c>
      <c r="AC79" s="72">
        <f>+T79*Tasas!$R$2</f>
        <v>0</v>
      </c>
      <c r="AD79" s="72">
        <f>U79*Tasas!$R$3</f>
        <v>0</v>
      </c>
      <c r="AE79" s="72">
        <f>+V79*Tasas!$R$4</f>
        <v>0</v>
      </c>
      <c r="AF79" s="72">
        <f>+W79*Tasas!$R$5</f>
        <v>0</v>
      </c>
      <c r="AG79" s="72">
        <v>0</v>
      </c>
      <c r="AH79" s="72">
        <f t="shared" si="23"/>
        <v>0</v>
      </c>
      <c r="AI79" s="72">
        <f t="shared" si="24"/>
        <v>0</v>
      </c>
      <c r="AJ79" s="72"/>
      <c r="AK79" s="60">
        <f t="shared" si="25"/>
        <v>0</v>
      </c>
      <c r="AL79" s="60">
        <f t="shared" si="26"/>
        <v>0</v>
      </c>
      <c r="AM79" s="60">
        <f t="shared" si="27"/>
        <v>0</v>
      </c>
      <c r="AN79" s="60">
        <f t="shared" si="28"/>
        <v>0</v>
      </c>
      <c r="AO79" s="60">
        <f t="shared" si="29"/>
        <v>0</v>
      </c>
      <c r="AP79" s="60">
        <f t="shared" si="30"/>
        <v>0</v>
      </c>
      <c r="AQ79" s="60">
        <f t="shared" si="31"/>
        <v>0</v>
      </c>
      <c r="AR79" s="60">
        <f t="shared" si="32"/>
        <v>0</v>
      </c>
      <c r="AS79" s="60">
        <f t="shared" si="33"/>
        <v>0</v>
      </c>
      <c r="AT79" s="130">
        <f t="shared" si="34"/>
        <v>0</v>
      </c>
    </row>
    <row r="80" spans="14:46">
      <c r="N80">
        <f t="shared" si="35"/>
        <v>128</v>
      </c>
      <c r="O80" s="1">
        <f t="shared" si="44"/>
        <v>0</v>
      </c>
      <c r="P80" s="1">
        <f t="shared" si="36"/>
        <v>0</v>
      </c>
      <c r="Q80" s="1">
        <f t="shared" si="37"/>
        <v>0</v>
      </c>
      <c r="R80" s="1">
        <f t="shared" si="38"/>
        <v>0</v>
      </c>
      <c r="S80" s="1">
        <f t="shared" si="39"/>
        <v>0</v>
      </c>
      <c r="T80" s="1">
        <f t="shared" si="40"/>
        <v>0</v>
      </c>
      <c r="U80" s="1">
        <f t="shared" si="41"/>
        <v>0</v>
      </c>
      <c r="V80" s="1">
        <f t="shared" si="42"/>
        <v>0</v>
      </c>
      <c r="W80" s="1">
        <f t="shared" si="43"/>
        <v>0</v>
      </c>
      <c r="X80" s="72">
        <f>IF($B$1="M",(VLOOKUP(N80,Tasas!$A$3:$C$65,2)*O80),(VLOOKUP(N80,Tasas!$A$3:$C$65,3)*O80))</f>
        <v>0</v>
      </c>
      <c r="Y80" s="60">
        <f>IF($B$1="M",(VLOOKUP(N80,Tasas!$A$3:$C$65,2)*P80),(VLOOKUP(N80,Tasas!$A$3:$C$65,3)*P80))</f>
        <v>0</v>
      </c>
      <c r="Z80" s="72">
        <f>IF($B$1="M",(VLOOKUP(N80,Tasas!$M$3:$O$55,2)*Q80),(VLOOKUP(N80,Tasas!$M$3:$O$55,3)*Q80))</f>
        <v>0</v>
      </c>
      <c r="AA80" s="72">
        <f>IF($B$1="M",(VLOOKUP(N80,Tasas!$E$3:$G$55,2)*R80),(VLOOKUP(N80,Tasas!$E$3:$G$55,3)*R80))</f>
        <v>0</v>
      </c>
      <c r="AB80" s="72">
        <f>IF($B$1="M",(VLOOKUP(N80,Tasas!$I$3:$K$55,2)*S80),(VLOOKUP(N80,Tasas!$I$3:$K$55,3)*S80))</f>
        <v>0</v>
      </c>
      <c r="AC80" s="72">
        <f>+T80*Tasas!$R$2</f>
        <v>0</v>
      </c>
      <c r="AD80" s="72">
        <f>U80*Tasas!$R$3</f>
        <v>0</v>
      </c>
      <c r="AE80" s="72">
        <f>+V80*Tasas!$R$4</f>
        <v>0</v>
      </c>
      <c r="AF80" s="72">
        <f>+W80*Tasas!$R$5</f>
        <v>0</v>
      </c>
      <c r="AG80" s="72">
        <v>0</v>
      </c>
      <c r="AH80" s="72">
        <f t="shared" si="23"/>
        <v>0</v>
      </c>
      <c r="AI80" s="72">
        <f t="shared" si="24"/>
        <v>0</v>
      </c>
      <c r="AJ80" s="72"/>
      <c r="AK80" s="60">
        <f t="shared" si="25"/>
        <v>0</v>
      </c>
      <c r="AL80" s="60">
        <f t="shared" si="26"/>
        <v>0</v>
      </c>
      <c r="AM80" s="60">
        <f t="shared" si="27"/>
        <v>0</v>
      </c>
      <c r="AN80" s="60">
        <f t="shared" si="28"/>
        <v>0</v>
      </c>
      <c r="AO80" s="60">
        <f t="shared" si="29"/>
        <v>0</v>
      </c>
      <c r="AP80" s="60">
        <f t="shared" si="30"/>
        <v>0</v>
      </c>
      <c r="AQ80" s="60">
        <f t="shared" si="31"/>
        <v>0</v>
      </c>
      <c r="AR80" s="60">
        <f t="shared" si="32"/>
        <v>0</v>
      </c>
      <c r="AS80" s="60">
        <f t="shared" si="33"/>
        <v>0</v>
      </c>
      <c r="AT80" s="130">
        <f t="shared" si="34"/>
        <v>0</v>
      </c>
    </row>
    <row r="81" spans="14:46">
      <c r="N81">
        <f t="shared" si="35"/>
        <v>129</v>
      </c>
      <c r="O81" s="1">
        <f t="shared" si="44"/>
        <v>0</v>
      </c>
      <c r="P81" s="1">
        <f t="shared" si="36"/>
        <v>0</v>
      </c>
      <c r="Q81" s="1">
        <f t="shared" si="37"/>
        <v>0</v>
      </c>
      <c r="R81" s="1">
        <f t="shared" si="38"/>
        <v>0</v>
      </c>
      <c r="S81" s="1">
        <f t="shared" si="39"/>
        <v>0</v>
      </c>
      <c r="T81" s="1">
        <f t="shared" si="40"/>
        <v>0</v>
      </c>
      <c r="U81" s="1">
        <f t="shared" si="41"/>
        <v>0</v>
      </c>
      <c r="V81" s="1">
        <f t="shared" si="42"/>
        <v>0</v>
      </c>
      <c r="W81" s="1">
        <f t="shared" si="43"/>
        <v>0</v>
      </c>
      <c r="X81" s="72">
        <f>IF($B$1="M",(VLOOKUP(N81,Tasas!$A$3:$C$65,2)*O81),(VLOOKUP(N81,Tasas!$A$3:$C$65,3)*O81))</f>
        <v>0</v>
      </c>
      <c r="Y81" s="60">
        <f>IF($B$1="M",(VLOOKUP(N81,Tasas!$A$3:$C$65,2)*P81),(VLOOKUP(N81,Tasas!$A$3:$C$65,3)*P81))</f>
        <v>0</v>
      </c>
      <c r="Z81" s="72">
        <f>IF($B$1="M",(VLOOKUP(N81,Tasas!$M$3:$O$55,2)*Q81),(VLOOKUP(N81,Tasas!$M$3:$O$55,3)*Q81))</f>
        <v>0</v>
      </c>
      <c r="AA81" s="72">
        <f>IF($B$1="M",(VLOOKUP(N81,Tasas!$E$3:$G$55,2)*R81),(VLOOKUP(N81,Tasas!$E$3:$G$55,3)*R81))</f>
        <v>0</v>
      </c>
      <c r="AB81" s="72">
        <f>IF($B$1="M",(VLOOKUP(N81,Tasas!$I$3:$K$55,2)*S81),(VLOOKUP(N81,Tasas!$I$3:$K$55,3)*S81))</f>
        <v>0</v>
      </c>
      <c r="AC81" s="72">
        <f>+T81*Tasas!$R$2</f>
        <v>0</v>
      </c>
      <c r="AD81" s="72">
        <f>U81*Tasas!$R$3</f>
        <v>0</v>
      </c>
      <c r="AE81" s="72">
        <f>+V81*Tasas!$R$4</f>
        <v>0</v>
      </c>
      <c r="AF81" s="72">
        <f>+W81*Tasas!$R$5</f>
        <v>0</v>
      </c>
      <c r="AG81" s="72">
        <v>0</v>
      </c>
      <c r="AH81" s="72">
        <f t="shared" si="23"/>
        <v>0</v>
      </c>
      <c r="AI81" s="72">
        <f t="shared" si="24"/>
        <v>0</v>
      </c>
      <c r="AJ81" s="72"/>
      <c r="AK81" s="60">
        <f t="shared" si="25"/>
        <v>0</v>
      </c>
      <c r="AL81" s="60">
        <f t="shared" si="26"/>
        <v>0</v>
      </c>
      <c r="AM81" s="60">
        <f t="shared" si="27"/>
        <v>0</v>
      </c>
      <c r="AN81" s="60">
        <f t="shared" si="28"/>
        <v>0</v>
      </c>
      <c r="AO81" s="60">
        <f t="shared" si="29"/>
        <v>0</v>
      </c>
      <c r="AP81" s="60">
        <f t="shared" si="30"/>
        <v>0</v>
      </c>
      <c r="AQ81" s="60">
        <f t="shared" si="31"/>
        <v>0</v>
      </c>
      <c r="AR81" s="60">
        <f t="shared" si="32"/>
        <v>0</v>
      </c>
      <c r="AS81" s="60">
        <f t="shared" si="33"/>
        <v>0</v>
      </c>
      <c r="AT81" s="130">
        <f t="shared" si="34"/>
        <v>0</v>
      </c>
    </row>
    <row r="82" spans="14:46">
      <c r="N82">
        <f t="shared" si="35"/>
        <v>130</v>
      </c>
      <c r="O82" s="1">
        <f t="shared" si="44"/>
        <v>0</v>
      </c>
      <c r="P82" s="1">
        <f t="shared" si="36"/>
        <v>0</v>
      </c>
      <c r="Q82" s="1">
        <f t="shared" si="37"/>
        <v>0</v>
      </c>
      <c r="R82" s="1">
        <f t="shared" si="38"/>
        <v>0</v>
      </c>
      <c r="S82" s="1">
        <f t="shared" si="39"/>
        <v>0</v>
      </c>
      <c r="T82" s="1">
        <f t="shared" si="40"/>
        <v>0</v>
      </c>
      <c r="U82" s="1">
        <f t="shared" si="41"/>
        <v>0</v>
      </c>
      <c r="V82" s="1">
        <f t="shared" si="42"/>
        <v>0</v>
      </c>
      <c r="W82" s="1">
        <f t="shared" si="43"/>
        <v>0</v>
      </c>
      <c r="X82" s="72">
        <f>IF($B$1="M",(VLOOKUP(N82,Tasas!$A$3:$C$65,2)*O82),(VLOOKUP(N82,Tasas!$A$3:$C$65,3)*O82))</f>
        <v>0</v>
      </c>
      <c r="Y82" s="60">
        <f>IF($B$1="M",(VLOOKUP(N82,Tasas!$A$3:$C$65,2)*P82),(VLOOKUP(N82,Tasas!$A$3:$C$65,3)*P82))</f>
        <v>0</v>
      </c>
      <c r="Z82" s="72">
        <f>IF($B$1="M",(VLOOKUP(N82,Tasas!$M$3:$O$55,2)*Q82),(VLOOKUP(N82,Tasas!$M$3:$O$55,3)*Q82))</f>
        <v>0</v>
      </c>
      <c r="AA82" s="72">
        <f>IF($B$1="M",(VLOOKUP(N82,Tasas!$E$3:$G$55,2)*R82),(VLOOKUP(N82,Tasas!$E$3:$G$55,3)*R82))</f>
        <v>0</v>
      </c>
      <c r="AB82" s="72">
        <f>IF($B$1="M",(VLOOKUP(N82,Tasas!$I$3:$K$55,2)*S82),(VLOOKUP(N82,Tasas!$I$3:$K$55,3)*S82))</f>
        <v>0</v>
      </c>
      <c r="AC82" s="72">
        <f>+T82*Tasas!$R$2</f>
        <v>0</v>
      </c>
      <c r="AD82" s="72">
        <f>U82*Tasas!$R$3</f>
        <v>0</v>
      </c>
      <c r="AE82" s="72">
        <f>+V82*Tasas!$R$4</f>
        <v>0</v>
      </c>
      <c r="AF82" s="72">
        <f>+W82*Tasas!$R$5</f>
        <v>0</v>
      </c>
      <c r="AG82" s="72">
        <v>0</v>
      </c>
      <c r="AH82" s="72">
        <f t="shared" si="23"/>
        <v>0</v>
      </c>
      <c r="AI82" s="72">
        <f t="shared" si="24"/>
        <v>0</v>
      </c>
      <c r="AJ82" s="72"/>
      <c r="AK82" s="60">
        <f t="shared" si="25"/>
        <v>0</v>
      </c>
      <c r="AL82" s="60">
        <f t="shared" si="26"/>
        <v>0</v>
      </c>
      <c r="AM82" s="60">
        <f t="shared" si="27"/>
        <v>0</v>
      </c>
      <c r="AN82" s="60">
        <f t="shared" si="28"/>
        <v>0</v>
      </c>
      <c r="AO82" s="60">
        <f t="shared" si="29"/>
        <v>0</v>
      </c>
      <c r="AP82" s="60">
        <f t="shared" si="30"/>
        <v>0</v>
      </c>
      <c r="AQ82" s="60">
        <f t="shared" si="31"/>
        <v>0</v>
      </c>
      <c r="AR82" s="60">
        <f t="shared" si="32"/>
        <v>0</v>
      </c>
      <c r="AS82" s="60">
        <f t="shared" si="33"/>
        <v>0</v>
      </c>
      <c r="AT82" s="130">
        <f t="shared" si="34"/>
        <v>0</v>
      </c>
    </row>
    <row r="83" spans="14:46">
      <c r="N83">
        <f t="shared" si="35"/>
        <v>131</v>
      </c>
      <c r="O83" s="1">
        <f t="shared" si="44"/>
        <v>0</v>
      </c>
      <c r="P83" s="1">
        <f t="shared" si="36"/>
        <v>0</v>
      </c>
      <c r="Q83" s="1">
        <f t="shared" si="37"/>
        <v>0</v>
      </c>
      <c r="R83" s="1">
        <f t="shared" si="38"/>
        <v>0</v>
      </c>
      <c r="S83" s="1">
        <f t="shared" si="39"/>
        <v>0</v>
      </c>
      <c r="T83" s="1">
        <f t="shared" si="40"/>
        <v>0</v>
      </c>
      <c r="U83" s="1">
        <f t="shared" si="41"/>
        <v>0</v>
      </c>
      <c r="V83" s="1">
        <f t="shared" si="42"/>
        <v>0</v>
      </c>
      <c r="W83" s="1">
        <f t="shared" si="43"/>
        <v>0</v>
      </c>
      <c r="X83" s="72">
        <f>IF($B$1="M",(VLOOKUP(N83,Tasas!$A$3:$C$65,2)*O83),(VLOOKUP(N83,Tasas!$A$3:$C$65,3)*O83))</f>
        <v>0</v>
      </c>
      <c r="Y83" s="60">
        <f>IF($B$1="M",(VLOOKUP(N83,Tasas!$A$3:$C$65,2)*P83),(VLOOKUP(N83,Tasas!$A$3:$C$65,3)*P83))</f>
        <v>0</v>
      </c>
      <c r="Z83" s="72">
        <f>IF($B$1="M",(VLOOKUP(N83,Tasas!$M$3:$O$55,2)*Q83),(VLOOKUP(N83,Tasas!$M$3:$O$55,3)*Q83))</f>
        <v>0</v>
      </c>
      <c r="AA83" s="72">
        <f>IF($B$1="M",(VLOOKUP(N83,Tasas!$E$3:$G$55,2)*R83),(VLOOKUP(N83,Tasas!$E$3:$G$55,3)*R83))</f>
        <v>0</v>
      </c>
      <c r="AB83" s="72">
        <f>IF($B$1="M",(VLOOKUP(N83,Tasas!$I$3:$K$55,2)*S83),(VLOOKUP(N83,Tasas!$I$3:$K$55,3)*S83))</f>
        <v>0</v>
      </c>
      <c r="AC83" s="72">
        <f>+T83*Tasas!$R$2</f>
        <v>0</v>
      </c>
      <c r="AD83" s="72">
        <f>U83*Tasas!$R$3</f>
        <v>0</v>
      </c>
      <c r="AE83" s="72">
        <f>+V83*Tasas!$R$4</f>
        <v>0</v>
      </c>
      <c r="AF83" s="72">
        <f>+W83*Tasas!$R$5</f>
        <v>0</v>
      </c>
      <c r="AG83" s="72">
        <v>0</v>
      </c>
      <c r="AH83" s="72">
        <f t="shared" si="23"/>
        <v>0</v>
      </c>
      <c r="AI83" s="72">
        <f t="shared" si="24"/>
        <v>0</v>
      </c>
      <c r="AJ83" s="72"/>
      <c r="AK83" s="60">
        <f t="shared" si="25"/>
        <v>0</v>
      </c>
      <c r="AL83" s="60">
        <f t="shared" si="26"/>
        <v>0</v>
      </c>
      <c r="AM83" s="60">
        <f t="shared" si="27"/>
        <v>0</v>
      </c>
      <c r="AN83" s="60">
        <f t="shared" si="28"/>
        <v>0</v>
      </c>
      <c r="AO83" s="60">
        <f t="shared" si="29"/>
        <v>0</v>
      </c>
      <c r="AP83" s="60">
        <f t="shared" si="30"/>
        <v>0</v>
      </c>
      <c r="AQ83" s="60">
        <f t="shared" si="31"/>
        <v>0</v>
      </c>
      <c r="AR83" s="60">
        <f t="shared" si="32"/>
        <v>0</v>
      </c>
      <c r="AS83" s="60">
        <f t="shared" si="33"/>
        <v>0</v>
      </c>
      <c r="AT83" s="130">
        <f t="shared" si="34"/>
        <v>0</v>
      </c>
    </row>
    <row r="84" spans="14:46">
      <c r="N84">
        <f t="shared" si="35"/>
        <v>132</v>
      </c>
      <c r="O84" s="1">
        <f t="shared" si="44"/>
        <v>0</v>
      </c>
      <c r="P84" s="1">
        <f t="shared" si="36"/>
        <v>0</v>
      </c>
      <c r="Q84" s="1">
        <f t="shared" si="37"/>
        <v>0</v>
      </c>
      <c r="R84" s="1">
        <f t="shared" si="38"/>
        <v>0</v>
      </c>
      <c r="S84" s="1">
        <f t="shared" si="39"/>
        <v>0</v>
      </c>
      <c r="T84" s="1">
        <f t="shared" si="40"/>
        <v>0</v>
      </c>
      <c r="U84" s="1">
        <f t="shared" si="41"/>
        <v>0</v>
      </c>
      <c r="V84" s="1">
        <f t="shared" si="42"/>
        <v>0</v>
      </c>
      <c r="W84" s="1">
        <f t="shared" si="43"/>
        <v>0</v>
      </c>
      <c r="X84" s="72">
        <f>IF($B$1="M",(VLOOKUP(N84,Tasas!$A$3:$C$65,2)*O84),(VLOOKUP(N84,Tasas!$A$3:$C$65,3)*O84))</f>
        <v>0</v>
      </c>
      <c r="Y84" s="60">
        <f>IF($B$1="M",(VLOOKUP(N84,Tasas!$A$3:$C$65,2)*P84),(VLOOKUP(N84,Tasas!$A$3:$C$65,3)*P84))</f>
        <v>0</v>
      </c>
      <c r="Z84" s="72">
        <f>IF($B$1="M",(VLOOKUP(N84,Tasas!$M$3:$O$55,2)*Q84),(VLOOKUP(N84,Tasas!$M$3:$O$55,3)*Q84))</f>
        <v>0</v>
      </c>
      <c r="AA84" s="72">
        <f>IF($B$1="M",(VLOOKUP(N84,Tasas!$E$3:$G$55,2)*R84),(VLOOKUP(N84,Tasas!$E$3:$G$55,3)*R84))</f>
        <v>0</v>
      </c>
      <c r="AB84" s="72">
        <f>IF($B$1="M",(VLOOKUP(N84,Tasas!$I$3:$K$55,2)*S84),(VLOOKUP(N84,Tasas!$I$3:$K$55,3)*S84))</f>
        <v>0</v>
      </c>
      <c r="AC84" s="72">
        <f>+T84*Tasas!$R$2</f>
        <v>0</v>
      </c>
      <c r="AD84" s="72">
        <f>U84*Tasas!$R$3</f>
        <v>0</v>
      </c>
      <c r="AE84" s="72">
        <f>+V84*Tasas!$R$4</f>
        <v>0</v>
      </c>
      <c r="AF84" s="72">
        <f>+W84*Tasas!$R$5</f>
        <v>0</v>
      </c>
      <c r="AG84" s="72">
        <v>0</v>
      </c>
      <c r="AH84" s="72">
        <f t="shared" si="23"/>
        <v>0</v>
      </c>
      <c r="AI84" s="72">
        <f t="shared" si="24"/>
        <v>0</v>
      </c>
      <c r="AJ84" s="72"/>
      <c r="AK84" s="60">
        <f t="shared" si="25"/>
        <v>0</v>
      </c>
      <c r="AL84" s="60">
        <f t="shared" si="26"/>
        <v>0</v>
      </c>
      <c r="AM84" s="60">
        <f t="shared" si="27"/>
        <v>0</v>
      </c>
      <c r="AN84" s="60">
        <f t="shared" si="28"/>
        <v>0</v>
      </c>
      <c r="AO84" s="60">
        <f t="shared" si="29"/>
        <v>0</v>
      </c>
      <c r="AP84" s="60">
        <f t="shared" si="30"/>
        <v>0</v>
      </c>
      <c r="AQ84" s="60">
        <f t="shared" si="31"/>
        <v>0</v>
      </c>
      <c r="AR84" s="60">
        <f t="shared" si="32"/>
        <v>0</v>
      </c>
      <c r="AS84" s="60">
        <f t="shared" si="33"/>
        <v>0</v>
      </c>
      <c r="AT84" s="130">
        <f t="shared" si="34"/>
        <v>0</v>
      </c>
    </row>
    <row r="85" spans="14:46">
      <c r="X85" s="72"/>
      <c r="Y85" s="60"/>
      <c r="Z85" s="72"/>
      <c r="AA85" s="72"/>
      <c r="AB85" s="72"/>
      <c r="AC85" s="72"/>
      <c r="AD85" s="72"/>
      <c r="AE85" s="72"/>
      <c r="AF85" s="72"/>
      <c r="AG85" s="72"/>
      <c r="AH85" s="72"/>
    </row>
    <row r="86" spans="14:46">
      <c r="X86" s="72"/>
      <c r="Y86" s="60"/>
      <c r="Z86" s="72"/>
      <c r="AA86" s="72"/>
      <c r="AB86" s="72"/>
      <c r="AC86" s="72"/>
      <c r="AD86" s="72"/>
      <c r="AE86" s="72"/>
      <c r="AF86" s="72"/>
      <c r="AG86" s="72"/>
      <c r="AH86" s="72"/>
    </row>
    <row r="87" spans="14:46">
      <c r="X87" s="72"/>
      <c r="Y87" s="60"/>
      <c r="Z87" s="72"/>
      <c r="AA87" s="72"/>
      <c r="AB87" s="72"/>
      <c r="AC87" s="72"/>
      <c r="AD87" s="72"/>
      <c r="AE87" s="72"/>
      <c r="AF87" s="72"/>
      <c r="AG87" s="72"/>
      <c r="AH87" s="72"/>
    </row>
    <row r="88" spans="14:46">
      <c r="X88" s="72"/>
      <c r="Y88" s="60"/>
      <c r="Z88" s="72"/>
      <c r="AA88" s="72"/>
      <c r="AB88" s="72"/>
      <c r="AC88" s="72"/>
      <c r="AD88" s="72"/>
      <c r="AE88" s="72"/>
      <c r="AF88" s="72"/>
      <c r="AG88" s="72"/>
      <c r="AH88" s="72"/>
    </row>
  </sheetData>
  <sheetProtection selectLockedCells="1"/>
  <mergeCells count="3">
    <mergeCell ref="N1:W1"/>
    <mergeCell ref="X1:AG1"/>
    <mergeCell ref="AJ1:AJ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65"/>
  <sheetViews>
    <sheetView workbookViewId="0">
      <selection activeCell="D32" sqref="D32"/>
    </sheetView>
  </sheetViews>
  <sheetFormatPr baseColWidth="10" defaultRowHeight="12.75"/>
  <sheetData>
    <row r="1" spans="1:18">
      <c r="B1" s="158" t="s">
        <v>42</v>
      </c>
      <c r="C1" s="158"/>
      <c r="F1" s="158" t="s">
        <v>50</v>
      </c>
      <c r="G1" s="158"/>
      <c r="J1" s="158" t="s">
        <v>51</v>
      </c>
      <c r="K1" s="158"/>
      <c r="N1" s="158" t="s">
        <v>52</v>
      </c>
      <c r="O1" s="158"/>
    </row>
    <row r="2" spans="1:18">
      <c r="A2" s="61" t="s">
        <v>53</v>
      </c>
      <c r="B2" s="61" t="s">
        <v>54</v>
      </c>
      <c r="C2" s="61" t="s">
        <v>55</v>
      </c>
      <c r="E2" s="61" t="s">
        <v>53</v>
      </c>
      <c r="F2" s="61" t="s">
        <v>54</v>
      </c>
      <c r="G2" s="61" t="s">
        <v>55</v>
      </c>
      <c r="H2" s="61"/>
      <c r="I2" s="61" t="s">
        <v>53</v>
      </c>
      <c r="J2" s="61" t="s">
        <v>54</v>
      </c>
      <c r="K2" s="61" t="s">
        <v>55</v>
      </c>
      <c r="L2" s="61"/>
      <c r="M2" s="61" t="s">
        <v>53</v>
      </c>
      <c r="N2" s="61" t="s">
        <v>54</v>
      </c>
      <c r="O2" s="61" t="s">
        <v>55</v>
      </c>
      <c r="Q2" s="61" t="s">
        <v>63</v>
      </c>
      <c r="R2">
        <v>1.9</v>
      </c>
    </row>
    <row r="3" spans="1:18">
      <c r="A3">
        <v>18</v>
      </c>
      <c r="B3">
        <v>4.2100000000000002E-3</v>
      </c>
      <c r="C3">
        <v>1.5379999999999999E-3</v>
      </c>
      <c r="E3">
        <v>18</v>
      </c>
      <c r="F3">
        <v>9.4700000000000003E-4</v>
      </c>
      <c r="G3">
        <v>9.4700000000000003E-4</v>
      </c>
      <c r="I3">
        <v>18</v>
      </c>
      <c r="J3">
        <v>4.8200000000000001E-4</v>
      </c>
      <c r="K3">
        <v>4.8200000000000001E-4</v>
      </c>
      <c r="M3">
        <v>18</v>
      </c>
      <c r="N3">
        <v>1.2439999999999999E-3</v>
      </c>
      <c r="O3">
        <v>4.5400000000000003E-4</v>
      </c>
      <c r="Q3" s="2" t="s">
        <v>64</v>
      </c>
      <c r="R3" s="2">
        <v>144000</v>
      </c>
    </row>
    <row r="4" spans="1:18">
      <c r="A4">
        <v>19</v>
      </c>
      <c r="B4">
        <v>4.2100000000000002E-3</v>
      </c>
      <c r="C4">
        <v>1.5379999999999999E-3</v>
      </c>
      <c r="E4">
        <v>19</v>
      </c>
      <c r="F4">
        <v>9.4700000000000003E-4</v>
      </c>
      <c r="G4">
        <v>9.4700000000000003E-4</v>
      </c>
      <c r="I4">
        <v>19</v>
      </c>
      <c r="J4">
        <v>5.2400000000000005E-4</v>
      </c>
      <c r="K4">
        <v>5.2400000000000005E-4</v>
      </c>
      <c r="M4">
        <v>19</v>
      </c>
      <c r="N4">
        <v>1.2439999999999999E-3</v>
      </c>
      <c r="O4">
        <v>4.5400000000000003E-4</v>
      </c>
      <c r="Q4" s="2" t="s">
        <v>57</v>
      </c>
      <c r="R4" s="2">
        <v>120000</v>
      </c>
    </row>
    <row r="5" spans="1:18">
      <c r="A5">
        <v>20</v>
      </c>
      <c r="B5">
        <v>4.2100000000000002E-3</v>
      </c>
      <c r="C5">
        <v>1.5379999999999999E-3</v>
      </c>
      <c r="E5">
        <v>20</v>
      </c>
      <c r="F5">
        <v>9.4700000000000003E-4</v>
      </c>
      <c r="G5">
        <v>9.4700000000000003E-4</v>
      </c>
      <c r="I5">
        <v>20</v>
      </c>
      <c r="J5">
        <v>5.6599999999999999E-4</v>
      </c>
      <c r="K5">
        <v>5.8700000000000007E-4</v>
      </c>
      <c r="M5">
        <v>20</v>
      </c>
      <c r="N5">
        <v>1.2439999999999999E-3</v>
      </c>
      <c r="O5">
        <v>4.5400000000000003E-4</v>
      </c>
      <c r="Q5" s="2" t="s">
        <v>58</v>
      </c>
      <c r="R5" s="2">
        <v>192000</v>
      </c>
    </row>
    <row r="6" spans="1:18">
      <c r="A6">
        <v>21</v>
      </c>
      <c r="B6">
        <v>4.2490000000000002E-3</v>
      </c>
      <c r="C6">
        <v>1.5869999999999999E-3</v>
      </c>
      <c r="E6">
        <v>21</v>
      </c>
      <c r="F6">
        <v>9.4700000000000003E-4</v>
      </c>
      <c r="G6">
        <v>9.4700000000000003E-4</v>
      </c>
      <c r="I6">
        <v>21</v>
      </c>
      <c r="J6">
        <v>6.0800000000000003E-4</v>
      </c>
      <c r="K6">
        <v>6.29E-4</v>
      </c>
      <c r="M6">
        <v>21</v>
      </c>
      <c r="N6">
        <v>1.2549999999999998E-3</v>
      </c>
      <c r="O6">
        <v>4.6900000000000002E-4</v>
      </c>
    </row>
    <row r="7" spans="1:18">
      <c r="A7">
        <v>22</v>
      </c>
      <c r="B7">
        <v>4.3E-3</v>
      </c>
      <c r="C7">
        <v>1.637E-3</v>
      </c>
      <c r="E7">
        <v>22</v>
      </c>
      <c r="F7">
        <v>9.4700000000000003E-4</v>
      </c>
      <c r="G7">
        <v>9.4700000000000003E-4</v>
      </c>
      <c r="I7">
        <v>22</v>
      </c>
      <c r="J7">
        <v>6.4999999999999997E-4</v>
      </c>
      <c r="K7">
        <v>6.7100000000000005E-4</v>
      </c>
      <c r="M7">
        <v>22</v>
      </c>
      <c r="N7">
        <v>1.2699999999999999E-3</v>
      </c>
      <c r="O7">
        <v>4.84E-4</v>
      </c>
    </row>
    <row r="8" spans="1:18">
      <c r="A8">
        <v>23</v>
      </c>
      <c r="B8">
        <v>4.352E-3</v>
      </c>
      <c r="C8">
        <v>1.6749999999999998E-3</v>
      </c>
      <c r="E8">
        <v>23</v>
      </c>
      <c r="F8">
        <v>1.2619999999999999E-3</v>
      </c>
      <c r="G8">
        <v>1.2619999999999999E-3</v>
      </c>
      <c r="I8">
        <v>23</v>
      </c>
      <c r="J8">
        <v>7.1299999999999998E-4</v>
      </c>
      <c r="K8">
        <v>7.3400000000000006E-4</v>
      </c>
      <c r="M8">
        <v>23</v>
      </c>
      <c r="N8">
        <v>1.2849999999999999E-3</v>
      </c>
      <c r="O8">
        <v>4.95E-4</v>
      </c>
    </row>
    <row r="9" spans="1:18">
      <c r="A9">
        <v>24</v>
      </c>
      <c r="B9">
        <v>4.3920000000000001E-3</v>
      </c>
      <c r="C9">
        <v>1.725E-3</v>
      </c>
      <c r="E9">
        <v>24</v>
      </c>
      <c r="F9">
        <v>1.2619999999999999E-3</v>
      </c>
      <c r="G9">
        <v>1.2619999999999999E-3</v>
      </c>
      <c r="I9">
        <v>24</v>
      </c>
      <c r="J9">
        <v>7.76E-4</v>
      </c>
      <c r="K9">
        <v>7.76E-4</v>
      </c>
      <c r="M9">
        <v>24</v>
      </c>
      <c r="N9">
        <v>1.297E-3</v>
      </c>
      <c r="O9">
        <v>5.1000000000000004E-4</v>
      </c>
    </row>
    <row r="10" spans="1:18">
      <c r="A10">
        <v>25</v>
      </c>
      <c r="B10">
        <v>4.4080000000000005E-3</v>
      </c>
      <c r="C10">
        <v>1.7629999999999998E-3</v>
      </c>
      <c r="E10">
        <v>25</v>
      </c>
      <c r="F10">
        <v>1.2619999999999999E-3</v>
      </c>
      <c r="G10">
        <v>1.2619999999999999E-3</v>
      </c>
      <c r="I10">
        <v>25</v>
      </c>
      <c r="J10">
        <v>8.5999999999999998E-4</v>
      </c>
      <c r="K10">
        <v>8.3900000000000001E-4</v>
      </c>
      <c r="M10">
        <v>25</v>
      </c>
      <c r="N10">
        <v>1.302E-3</v>
      </c>
      <c r="O10">
        <v>5.2099999999999998E-4</v>
      </c>
    </row>
    <row r="11" spans="1:18">
      <c r="A11">
        <v>26</v>
      </c>
      <c r="B11">
        <v>4.437E-3</v>
      </c>
      <c r="C11">
        <v>1.8129999999999999E-3</v>
      </c>
      <c r="E11">
        <v>26</v>
      </c>
      <c r="F11">
        <v>1.2619999999999999E-3</v>
      </c>
      <c r="G11">
        <v>1.2619999999999999E-3</v>
      </c>
      <c r="I11">
        <v>26</v>
      </c>
      <c r="J11">
        <v>9.2200000000000008E-4</v>
      </c>
      <c r="K11">
        <v>9.2200000000000008E-4</v>
      </c>
      <c r="M11">
        <v>26</v>
      </c>
      <c r="N11">
        <v>1.3109999999999999E-3</v>
      </c>
      <c r="O11">
        <v>5.3600000000000002E-4</v>
      </c>
    </row>
    <row r="12" spans="1:18">
      <c r="A12">
        <v>27</v>
      </c>
      <c r="B12">
        <v>4.4530000000000004E-3</v>
      </c>
      <c r="C12">
        <v>1.8519999999999999E-3</v>
      </c>
      <c r="E12">
        <v>27</v>
      </c>
      <c r="F12">
        <v>1.2619999999999999E-3</v>
      </c>
      <c r="G12">
        <v>1.2619999999999999E-3</v>
      </c>
      <c r="I12">
        <v>27</v>
      </c>
      <c r="J12">
        <v>1.0059999999999999E-3</v>
      </c>
      <c r="K12">
        <v>1.0059999999999999E-3</v>
      </c>
      <c r="M12">
        <v>27</v>
      </c>
      <c r="N12">
        <v>1.315E-3</v>
      </c>
      <c r="O12">
        <v>5.4700000000000007E-4</v>
      </c>
    </row>
    <row r="13" spans="1:18">
      <c r="A13">
        <v>28</v>
      </c>
      <c r="B13">
        <v>4.47E-3</v>
      </c>
      <c r="C13">
        <v>1.9019999999999998E-3</v>
      </c>
      <c r="E13">
        <v>28</v>
      </c>
      <c r="F13">
        <v>1.2619999999999999E-3</v>
      </c>
      <c r="G13">
        <v>1.2619999999999999E-3</v>
      </c>
      <c r="I13">
        <v>28</v>
      </c>
      <c r="J13">
        <v>1.0689999999999999E-3</v>
      </c>
      <c r="K13">
        <v>1.111E-3</v>
      </c>
      <c r="M13">
        <v>28</v>
      </c>
      <c r="N13">
        <v>1.32E-3</v>
      </c>
      <c r="O13">
        <v>5.62E-4</v>
      </c>
    </row>
    <row r="14" spans="1:18">
      <c r="A14">
        <v>29</v>
      </c>
      <c r="B14">
        <v>4.4870000000000005E-3</v>
      </c>
      <c r="C14">
        <v>1.941E-3</v>
      </c>
      <c r="E14">
        <v>29</v>
      </c>
      <c r="F14">
        <v>1.2619999999999999E-3</v>
      </c>
      <c r="G14">
        <v>1.2619999999999999E-3</v>
      </c>
      <c r="I14">
        <v>29</v>
      </c>
      <c r="J14">
        <v>1.132E-3</v>
      </c>
      <c r="K14">
        <v>1.2159999999999999E-3</v>
      </c>
      <c r="M14">
        <v>29</v>
      </c>
      <c r="N14">
        <v>1.325E-3</v>
      </c>
      <c r="O14">
        <v>5.7400000000000007E-4</v>
      </c>
    </row>
    <row r="15" spans="1:18">
      <c r="A15">
        <v>30</v>
      </c>
      <c r="B15">
        <v>4.4920000000000003E-3</v>
      </c>
      <c r="C15">
        <v>1.993E-3</v>
      </c>
      <c r="E15">
        <v>30</v>
      </c>
      <c r="F15">
        <v>1.2619999999999999E-3</v>
      </c>
      <c r="G15">
        <v>1.2619999999999999E-3</v>
      </c>
      <c r="I15">
        <v>30</v>
      </c>
      <c r="J15">
        <v>1.2159999999999999E-3</v>
      </c>
      <c r="K15">
        <v>1.3619999999999999E-3</v>
      </c>
      <c r="M15">
        <v>30</v>
      </c>
      <c r="N15">
        <v>1.3269999999999998E-3</v>
      </c>
      <c r="O15">
        <v>5.8900000000000001E-4</v>
      </c>
    </row>
    <row r="16" spans="1:18">
      <c r="A16">
        <v>31</v>
      </c>
      <c r="B16">
        <v>4.509E-3</v>
      </c>
      <c r="C16">
        <v>2.0440000000000002E-3</v>
      </c>
      <c r="E16">
        <v>31</v>
      </c>
      <c r="F16">
        <v>1.2619999999999999E-3</v>
      </c>
      <c r="G16">
        <v>1.2619999999999999E-3</v>
      </c>
      <c r="I16">
        <v>31</v>
      </c>
      <c r="J16">
        <v>1.2999999999999999E-3</v>
      </c>
      <c r="K16">
        <v>1.5299999999999999E-3</v>
      </c>
      <c r="M16">
        <v>31</v>
      </c>
      <c r="N16">
        <v>1.3319999999999999E-3</v>
      </c>
      <c r="O16">
        <v>6.0400000000000004E-4</v>
      </c>
    </row>
    <row r="17" spans="1:15">
      <c r="A17">
        <v>32</v>
      </c>
      <c r="B17">
        <v>4.5260000000000005E-3</v>
      </c>
      <c r="C17">
        <v>2.0960000000000002E-3</v>
      </c>
      <c r="E17">
        <v>32</v>
      </c>
      <c r="F17">
        <v>1.2619999999999999E-3</v>
      </c>
      <c r="G17">
        <v>1.2619999999999999E-3</v>
      </c>
      <c r="I17">
        <v>32</v>
      </c>
      <c r="J17">
        <v>1.4249999999999998E-3</v>
      </c>
      <c r="K17">
        <v>1.7189999999999998E-3</v>
      </c>
      <c r="M17">
        <v>32</v>
      </c>
      <c r="N17">
        <v>1.3369999999999999E-3</v>
      </c>
      <c r="O17">
        <v>6.1899999999999998E-4</v>
      </c>
    </row>
    <row r="18" spans="1:15">
      <c r="A18">
        <v>33</v>
      </c>
      <c r="B18">
        <v>4.5310000000000003E-3</v>
      </c>
      <c r="C18">
        <v>2.16E-3</v>
      </c>
      <c r="E18">
        <v>33</v>
      </c>
      <c r="F18">
        <v>1.2619999999999999E-3</v>
      </c>
      <c r="G18">
        <v>1.2619999999999999E-3</v>
      </c>
      <c r="I18">
        <v>33</v>
      </c>
      <c r="J18">
        <v>1.5509999999999999E-3</v>
      </c>
      <c r="K18">
        <v>1.9279999999999998E-3</v>
      </c>
      <c r="M18">
        <v>33</v>
      </c>
      <c r="N18">
        <v>1.338E-3</v>
      </c>
      <c r="O18">
        <v>6.38E-4</v>
      </c>
    </row>
    <row r="19" spans="1:15">
      <c r="A19">
        <v>34</v>
      </c>
      <c r="B19">
        <v>4.561E-3</v>
      </c>
      <c r="C19">
        <v>2.2240000000000003E-3</v>
      </c>
      <c r="E19">
        <v>34</v>
      </c>
      <c r="F19">
        <v>1.2619999999999999E-3</v>
      </c>
      <c r="G19">
        <v>1.2619999999999999E-3</v>
      </c>
      <c r="I19">
        <v>34</v>
      </c>
      <c r="J19">
        <v>1.6979999999999999E-3</v>
      </c>
      <c r="K19">
        <v>2.1800000000000001E-3</v>
      </c>
      <c r="M19">
        <v>34</v>
      </c>
      <c r="N19">
        <v>1.3469999999999999E-3</v>
      </c>
      <c r="O19">
        <v>6.5700000000000003E-4</v>
      </c>
    </row>
    <row r="20" spans="1:15">
      <c r="A20">
        <v>35</v>
      </c>
      <c r="B20">
        <v>4.5789999999999997E-3</v>
      </c>
      <c r="C20">
        <v>2.2890000000000002E-3</v>
      </c>
      <c r="E20">
        <v>35</v>
      </c>
      <c r="F20">
        <v>1.2619999999999999E-3</v>
      </c>
      <c r="G20">
        <v>1.2619999999999999E-3</v>
      </c>
      <c r="I20">
        <v>35</v>
      </c>
      <c r="J20">
        <v>1.8859999999999999E-3</v>
      </c>
      <c r="K20">
        <v>2.431E-3</v>
      </c>
      <c r="M20">
        <v>35</v>
      </c>
      <c r="N20">
        <v>1.3529999999999998E-3</v>
      </c>
      <c r="O20">
        <v>6.7600000000000006E-4</v>
      </c>
    </row>
    <row r="21" spans="1:15">
      <c r="A21">
        <v>36</v>
      </c>
      <c r="B21">
        <v>4.5840000000000004E-3</v>
      </c>
      <c r="C21">
        <v>2.3540000000000002E-3</v>
      </c>
      <c r="E21">
        <v>36</v>
      </c>
      <c r="F21">
        <v>1.2619999999999999E-3</v>
      </c>
      <c r="G21">
        <v>1.2619999999999999E-3</v>
      </c>
      <c r="I21">
        <v>36</v>
      </c>
      <c r="J21">
        <v>2.0960000000000002E-3</v>
      </c>
      <c r="K21">
        <v>2.7030000000000001E-3</v>
      </c>
      <c r="M21">
        <v>36</v>
      </c>
      <c r="N21">
        <v>1.354E-3</v>
      </c>
      <c r="O21">
        <v>6.96E-4</v>
      </c>
    </row>
    <row r="22" spans="1:15">
      <c r="A22">
        <v>37</v>
      </c>
      <c r="B22">
        <v>4.6020000000000002E-3</v>
      </c>
      <c r="C22">
        <v>2.4200000000000003E-3</v>
      </c>
      <c r="E22">
        <v>37</v>
      </c>
      <c r="F22">
        <v>1.2619999999999999E-3</v>
      </c>
      <c r="G22">
        <v>1.2619999999999999E-3</v>
      </c>
      <c r="I22">
        <v>37</v>
      </c>
      <c r="J22">
        <v>2.3470000000000001E-3</v>
      </c>
      <c r="K22">
        <v>2.9970000000000001E-3</v>
      </c>
      <c r="M22">
        <v>37</v>
      </c>
      <c r="N22">
        <v>1.359E-3</v>
      </c>
      <c r="O22">
        <v>7.1500000000000003E-4</v>
      </c>
    </row>
    <row r="23" spans="1:15">
      <c r="A23">
        <v>38</v>
      </c>
      <c r="B23">
        <v>4.62E-3</v>
      </c>
      <c r="C23">
        <v>2.4850000000000002E-3</v>
      </c>
      <c r="E23">
        <v>38</v>
      </c>
      <c r="F23">
        <v>1.2619999999999999E-3</v>
      </c>
      <c r="G23">
        <v>1.2619999999999999E-3</v>
      </c>
      <c r="I23">
        <v>38</v>
      </c>
      <c r="J23">
        <v>2.6199999999999999E-3</v>
      </c>
      <c r="K23">
        <v>3.3110000000000001E-3</v>
      </c>
      <c r="M23">
        <v>38</v>
      </c>
      <c r="N23">
        <v>1.3649999999999999E-3</v>
      </c>
      <c r="O23">
        <v>7.3400000000000006E-4</v>
      </c>
    </row>
    <row r="24" spans="1:15">
      <c r="A24">
        <v>39</v>
      </c>
      <c r="B24">
        <v>4.6379999999999998E-3</v>
      </c>
      <c r="C24">
        <v>2.5640000000000003E-3</v>
      </c>
      <c r="E24">
        <v>39</v>
      </c>
      <c r="F24">
        <v>1.2619999999999999E-3</v>
      </c>
      <c r="G24">
        <v>1.2619999999999999E-3</v>
      </c>
      <c r="I24">
        <v>39</v>
      </c>
      <c r="J24">
        <v>2.934E-3</v>
      </c>
      <c r="K24">
        <v>3.6670000000000001E-3</v>
      </c>
      <c r="M24">
        <v>39</v>
      </c>
      <c r="N24">
        <v>1.3699999999999999E-3</v>
      </c>
      <c r="O24">
        <v>7.5700000000000008E-4</v>
      </c>
    </row>
    <row r="25" spans="1:15">
      <c r="A25">
        <v>40</v>
      </c>
      <c r="B25">
        <v>4.6690000000000004E-3</v>
      </c>
      <c r="C25">
        <v>2.6550000000000002E-3</v>
      </c>
      <c r="E25">
        <v>40</v>
      </c>
      <c r="F25">
        <v>1.2619999999999999E-3</v>
      </c>
      <c r="G25">
        <v>1.2619999999999999E-3</v>
      </c>
      <c r="I25">
        <v>40</v>
      </c>
      <c r="J25">
        <v>3.29E-3</v>
      </c>
      <c r="K25">
        <v>4.0230000000000005E-3</v>
      </c>
      <c r="M25">
        <v>40</v>
      </c>
      <c r="N25">
        <v>1.379E-3</v>
      </c>
      <c r="O25">
        <v>7.8399999999999997E-4</v>
      </c>
    </row>
    <row r="26" spans="1:15">
      <c r="A26">
        <v>41</v>
      </c>
      <c r="B26">
        <v>4.7000000000000002E-3</v>
      </c>
      <c r="C26">
        <v>2.735E-3</v>
      </c>
      <c r="E26">
        <v>41</v>
      </c>
      <c r="F26">
        <v>1.2619999999999999E-3</v>
      </c>
      <c r="G26">
        <v>1.2619999999999999E-3</v>
      </c>
      <c r="I26">
        <v>41</v>
      </c>
      <c r="J26">
        <v>3.6880000000000003E-3</v>
      </c>
      <c r="K26">
        <v>4.4210000000000005E-3</v>
      </c>
      <c r="M26">
        <v>41</v>
      </c>
      <c r="N26">
        <v>1.3879999999999999E-3</v>
      </c>
      <c r="O26">
        <v>8.0800000000000002E-4</v>
      </c>
    </row>
    <row r="27" spans="1:15">
      <c r="A27">
        <v>42</v>
      </c>
      <c r="B27">
        <v>4.7320000000000001E-3</v>
      </c>
      <c r="C27">
        <v>2.8270000000000001E-3</v>
      </c>
      <c r="E27">
        <v>42</v>
      </c>
      <c r="F27">
        <v>1.2619999999999999E-3</v>
      </c>
      <c r="G27">
        <v>1.2619999999999999E-3</v>
      </c>
      <c r="I27">
        <v>42</v>
      </c>
      <c r="J27">
        <v>4.1489999999999999E-3</v>
      </c>
      <c r="K27">
        <v>4.8400000000000006E-3</v>
      </c>
      <c r="M27">
        <v>42</v>
      </c>
      <c r="N27">
        <v>1.3979999999999999E-3</v>
      </c>
      <c r="O27">
        <v>8.3500000000000002E-4</v>
      </c>
    </row>
    <row r="28" spans="1:15">
      <c r="A28">
        <v>43</v>
      </c>
      <c r="B28">
        <v>4.764E-3</v>
      </c>
      <c r="C28">
        <v>2.908E-3</v>
      </c>
      <c r="E28">
        <v>43</v>
      </c>
      <c r="F28">
        <v>1.2619999999999999E-3</v>
      </c>
      <c r="G28">
        <v>1.2619999999999999E-3</v>
      </c>
      <c r="I28">
        <v>43</v>
      </c>
      <c r="J28">
        <v>4.6519999999999999E-3</v>
      </c>
      <c r="K28">
        <v>5.3010000000000002E-3</v>
      </c>
      <c r="M28">
        <v>43</v>
      </c>
      <c r="N28">
        <v>1.4069999999999998E-3</v>
      </c>
      <c r="O28">
        <v>8.5900000000000006E-4</v>
      </c>
    </row>
    <row r="29" spans="1:15">
      <c r="A29">
        <v>44</v>
      </c>
      <c r="B29">
        <v>4.8089999999999999E-3</v>
      </c>
      <c r="C29">
        <v>3.0010000000000002E-3</v>
      </c>
      <c r="E29">
        <v>44</v>
      </c>
      <c r="F29">
        <v>1.2619999999999999E-3</v>
      </c>
      <c r="G29">
        <v>1.2619999999999999E-3</v>
      </c>
      <c r="I29">
        <v>44</v>
      </c>
      <c r="J29">
        <v>5.2180000000000004E-3</v>
      </c>
      <c r="K29">
        <v>5.7829999999999999E-3</v>
      </c>
      <c r="M29">
        <v>44</v>
      </c>
      <c r="N29">
        <v>1.421E-3</v>
      </c>
      <c r="O29">
        <v>8.8699999999999998E-4</v>
      </c>
    </row>
    <row r="30" spans="1:15">
      <c r="A30">
        <v>45</v>
      </c>
      <c r="B30">
        <v>4.8419999999999999E-3</v>
      </c>
      <c r="C30">
        <v>3.0960000000000002E-3</v>
      </c>
      <c r="E30">
        <v>45</v>
      </c>
      <c r="F30">
        <v>1.578E-3</v>
      </c>
      <c r="G30">
        <v>1.578E-3</v>
      </c>
      <c r="I30">
        <v>45</v>
      </c>
      <c r="J30">
        <v>5.8669999999999998E-3</v>
      </c>
      <c r="K30">
        <v>6.3280000000000003E-3</v>
      </c>
      <c r="M30">
        <v>45</v>
      </c>
      <c r="N30">
        <v>1.4299999999999998E-3</v>
      </c>
      <c r="O30">
        <v>9.1399999999999999E-4</v>
      </c>
    </row>
    <row r="31" spans="1:15">
      <c r="A31">
        <v>46</v>
      </c>
      <c r="B31">
        <v>4.888E-3</v>
      </c>
      <c r="C31">
        <v>3.1910000000000003E-3</v>
      </c>
      <c r="D31">
        <f>+B31*100000000</f>
        <v>488800</v>
      </c>
      <c r="E31">
        <v>46</v>
      </c>
      <c r="F31">
        <v>1.578E-3</v>
      </c>
      <c r="G31">
        <v>1.578E-3</v>
      </c>
      <c r="I31">
        <v>46</v>
      </c>
      <c r="J31">
        <v>6.5799999999999999E-3</v>
      </c>
      <c r="K31">
        <v>6.9150000000000001E-3</v>
      </c>
      <c r="M31">
        <v>46</v>
      </c>
      <c r="N31">
        <v>1.444E-3</v>
      </c>
      <c r="O31">
        <v>9.4300000000000004E-4</v>
      </c>
    </row>
    <row r="32" spans="1:15">
      <c r="A32">
        <v>47</v>
      </c>
      <c r="B32">
        <v>4.934E-3</v>
      </c>
      <c r="C32">
        <v>3.2860000000000003E-3</v>
      </c>
      <c r="D32">
        <f>+C31*100000000</f>
        <v>319100</v>
      </c>
      <c r="E32">
        <v>47</v>
      </c>
      <c r="F32">
        <v>1.578E-3</v>
      </c>
      <c r="G32">
        <v>1.578E-3</v>
      </c>
      <c r="I32">
        <v>47</v>
      </c>
      <c r="J32">
        <v>7.3759999999999997E-3</v>
      </c>
      <c r="K32">
        <v>7.5430000000000002E-3</v>
      </c>
      <c r="M32">
        <v>47</v>
      </c>
      <c r="N32">
        <v>1.457E-3</v>
      </c>
      <c r="O32">
        <v>9.7100000000000007E-4</v>
      </c>
    </row>
    <row r="33" spans="1:15">
      <c r="A33">
        <v>48</v>
      </c>
      <c r="B33">
        <v>4.9950000000000003E-3</v>
      </c>
      <c r="C33">
        <v>3.395E-3</v>
      </c>
      <c r="E33">
        <v>48</v>
      </c>
      <c r="F33">
        <v>1.8929999999999999E-3</v>
      </c>
      <c r="G33">
        <v>1.8929999999999999E-3</v>
      </c>
      <c r="I33">
        <v>48</v>
      </c>
      <c r="J33">
        <v>8.2979999999999998E-3</v>
      </c>
      <c r="K33">
        <v>8.2349999999999993E-3</v>
      </c>
      <c r="M33">
        <v>48</v>
      </c>
      <c r="N33">
        <v>1.475E-3</v>
      </c>
      <c r="O33">
        <v>1.003E-3</v>
      </c>
    </row>
    <row r="34" spans="1:15">
      <c r="A34">
        <v>49</v>
      </c>
      <c r="B34">
        <v>5.0819999999999997E-3</v>
      </c>
      <c r="C34">
        <v>3.5300000000000002E-3</v>
      </c>
      <c r="E34">
        <v>49</v>
      </c>
      <c r="F34">
        <v>1.8929999999999999E-3</v>
      </c>
      <c r="G34">
        <v>1.8929999999999999E-3</v>
      </c>
      <c r="I34">
        <v>49</v>
      </c>
      <c r="J34">
        <v>9.3029999999999988E-3</v>
      </c>
      <c r="K34">
        <v>8.9679999999999985E-3</v>
      </c>
      <c r="M34">
        <v>49</v>
      </c>
      <c r="N34">
        <v>1.5009999999999999E-3</v>
      </c>
      <c r="O34">
        <v>1.0429999999999999E-3</v>
      </c>
    </row>
    <row r="35" spans="1:15">
      <c r="A35">
        <v>50</v>
      </c>
      <c r="B35">
        <v>5.2100000000000002E-3</v>
      </c>
      <c r="C35">
        <v>3.692E-3</v>
      </c>
      <c r="E35">
        <v>50</v>
      </c>
      <c r="F35">
        <v>2.209E-3</v>
      </c>
      <c r="G35">
        <v>2.209E-3</v>
      </c>
      <c r="I35">
        <v>50</v>
      </c>
      <c r="J35">
        <v>1.0414E-2</v>
      </c>
      <c r="K35">
        <v>9.7849999999999986E-3</v>
      </c>
      <c r="M35">
        <v>50</v>
      </c>
      <c r="N35">
        <v>1.539E-3</v>
      </c>
      <c r="O35">
        <v>1.0899999999999998E-3</v>
      </c>
    </row>
    <row r="36" spans="1:15">
      <c r="A36">
        <v>51</v>
      </c>
      <c r="B36">
        <v>5.3930000000000002E-3</v>
      </c>
      <c r="C36">
        <v>3.8920000000000001E-3</v>
      </c>
      <c r="E36">
        <v>51</v>
      </c>
      <c r="F36">
        <v>2.5240000000000002E-3</v>
      </c>
      <c r="G36">
        <v>2.5240000000000002E-3</v>
      </c>
      <c r="I36">
        <v>51</v>
      </c>
      <c r="J36">
        <v>1.1628999999999999E-2</v>
      </c>
      <c r="K36">
        <v>1.0664999999999999E-2</v>
      </c>
      <c r="M36">
        <v>51</v>
      </c>
      <c r="N36">
        <v>1.593E-3</v>
      </c>
      <c r="O36">
        <v>1.15E-3</v>
      </c>
    </row>
    <row r="37" spans="1:15">
      <c r="A37">
        <v>52</v>
      </c>
      <c r="B37">
        <v>5.659E-3</v>
      </c>
      <c r="C37">
        <v>4.1580000000000002E-3</v>
      </c>
      <c r="E37">
        <v>52</v>
      </c>
      <c r="F37">
        <v>2.5240000000000002E-3</v>
      </c>
      <c r="G37">
        <v>2.5240000000000002E-3</v>
      </c>
      <c r="I37">
        <v>52</v>
      </c>
      <c r="J37">
        <v>1.2990999999999999E-2</v>
      </c>
      <c r="K37">
        <v>1.1628999999999999E-2</v>
      </c>
      <c r="M37">
        <v>52</v>
      </c>
      <c r="N37">
        <v>1.6719999999999999E-3</v>
      </c>
      <c r="O37">
        <v>1.2279999999999999E-3</v>
      </c>
    </row>
    <row r="38" spans="1:15">
      <c r="A38">
        <v>53</v>
      </c>
      <c r="B38">
        <v>5.9969999999999997E-3</v>
      </c>
      <c r="C38">
        <v>4.4770000000000001E-3</v>
      </c>
      <c r="E38">
        <v>53</v>
      </c>
      <c r="F38">
        <v>2.8389999999999999E-3</v>
      </c>
      <c r="G38">
        <v>2.8389999999999999E-3</v>
      </c>
      <c r="I38">
        <v>53</v>
      </c>
      <c r="J38">
        <v>1.4457999999999999E-2</v>
      </c>
      <c r="K38">
        <v>1.2634999999999999E-2</v>
      </c>
      <c r="M38">
        <v>53</v>
      </c>
      <c r="N38">
        <v>1.771E-3</v>
      </c>
      <c r="O38">
        <v>1.3219999999999998E-3</v>
      </c>
    </row>
    <row r="39" spans="1:15">
      <c r="A39">
        <v>54</v>
      </c>
      <c r="B39">
        <v>6.4470000000000005E-3</v>
      </c>
      <c r="C39">
        <v>4.888E-3</v>
      </c>
      <c r="E39">
        <v>54</v>
      </c>
      <c r="F39">
        <v>2.8389999999999999E-3</v>
      </c>
      <c r="G39">
        <v>2.8389999999999999E-3</v>
      </c>
      <c r="I39">
        <v>54</v>
      </c>
      <c r="J39">
        <v>1.6050000000000002E-2</v>
      </c>
      <c r="K39">
        <v>1.3724E-2</v>
      </c>
      <c r="M39">
        <v>54</v>
      </c>
      <c r="N39">
        <v>1.9039999999999999E-3</v>
      </c>
      <c r="O39">
        <v>1.444E-3</v>
      </c>
    </row>
    <row r="40" spans="1:15">
      <c r="A40">
        <v>55</v>
      </c>
      <c r="B40">
        <v>6.986E-3</v>
      </c>
      <c r="C40">
        <v>5.3810000000000004E-3</v>
      </c>
      <c r="E40">
        <v>55</v>
      </c>
      <c r="F40">
        <v>3.1550000000000003E-3</v>
      </c>
      <c r="G40">
        <v>3.1550000000000003E-3</v>
      </c>
      <c r="I40">
        <v>55</v>
      </c>
      <c r="J40">
        <v>1.7768000000000003E-2</v>
      </c>
      <c r="K40">
        <v>1.4898E-2</v>
      </c>
      <c r="M40">
        <v>55</v>
      </c>
      <c r="N40">
        <v>2.0630000000000002E-3</v>
      </c>
      <c r="O40">
        <v>1.5889999999999999E-3</v>
      </c>
    </row>
    <row r="41" spans="1:15">
      <c r="A41">
        <v>56</v>
      </c>
      <c r="B41">
        <v>7.672E-3</v>
      </c>
      <c r="C41">
        <v>5.9960000000000005E-3</v>
      </c>
      <c r="E41">
        <v>56</v>
      </c>
      <c r="F41">
        <v>3.1550000000000003E-3</v>
      </c>
      <c r="G41">
        <v>3.1550000000000003E-3</v>
      </c>
      <c r="I41">
        <v>56</v>
      </c>
      <c r="J41">
        <v>1.9591000000000001E-2</v>
      </c>
      <c r="K41">
        <v>1.6113000000000002E-2</v>
      </c>
      <c r="M41">
        <v>56</v>
      </c>
      <c r="N41">
        <v>2.2660000000000002E-3</v>
      </c>
      <c r="O41">
        <v>1.771E-3</v>
      </c>
    </row>
    <row r="42" spans="1:15">
      <c r="A42">
        <v>57</v>
      </c>
      <c r="B42">
        <v>8.4799999999999997E-3</v>
      </c>
      <c r="C42">
        <v>6.7239999999999999E-3</v>
      </c>
      <c r="E42">
        <v>57</v>
      </c>
      <c r="F42">
        <v>3.1550000000000003E-3</v>
      </c>
      <c r="G42">
        <v>3.1550000000000003E-3</v>
      </c>
      <c r="I42">
        <v>57</v>
      </c>
      <c r="J42">
        <v>2.1559999999999999E-2</v>
      </c>
      <c r="K42">
        <v>1.7391E-2</v>
      </c>
      <c r="M42">
        <v>57</v>
      </c>
      <c r="N42">
        <v>2.5040000000000001E-3</v>
      </c>
      <c r="O42">
        <v>1.9859999999999999E-3</v>
      </c>
    </row>
    <row r="43" spans="1:15">
      <c r="A43">
        <v>58</v>
      </c>
      <c r="B43">
        <v>9.4299999999999991E-3</v>
      </c>
      <c r="C43">
        <v>7.5799999999999999E-3</v>
      </c>
      <c r="E43">
        <v>58</v>
      </c>
      <c r="F43">
        <v>3.47E-3</v>
      </c>
      <c r="G43">
        <v>3.47E-3</v>
      </c>
      <c r="I43">
        <v>58</v>
      </c>
      <c r="J43">
        <v>2.3635E-2</v>
      </c>
      <c r="K43">
        <v>1.8732000000000002E-2</v>
      </c>
      <c r="M43">
        <v>58</v>
      </c>
      <c r="N43">
        <v>2.7850000000000001E-3</v>
      </c>
      <c r="O43">
        <v>2.2390000000000001E-3</v>
      </c>
    </row>
    <row r="44" spans="1:15">
      <c r="A44">
        <v>59</v>
      </c>
      <c r="B44">
        <v>1.0499999999999999E-2</v>
      </c>
      <c r="C44">
        <v>8.5559999999999994E-3</v>
      </c>
      <c r="E44">
        <v>59</v>
      </c>
      <c r="F44">
        <v>3.47E-3</v>
      </c>
      <c r="G44">
        <v>3.47E-3</v>
      </c>
      <c r="I44">
        <v>59</v>
      </c>
      <c r="J44">
        <v>2.5856000000000001E-2</v>
      </c>
      <c r="K44">
        <v>2.0157000000000001E-2</v>
      </c>
      <c r="M44">
        <v>59</v>
      </c>
      <c r="N44">
        <v>3.101E-3</v>
      </c>
      <c r="O44">
        <v>2.5270000000000002E-3</v>
      </c>
    </row>
    <row r="45" spans="1:15">
      <c r="A45">
        <v>60</v>
      </c>
      <c r="B45">
        <v>1.1666999999999999E-2</v>
      </c>
      <c r="C45">
        <v>9.6189999999999991E-3</v>
      </c>
      <c r="E45">
        <v>60</v>
      </c>
      <c r="F45">
        <v>3.7860000000000003E-3</v>
      </c>
      <c r="G45">
        <v>3.7860000000000003E-3</v>
      </c>
      <c r="I45">
        <v>60</v>
      </c>
      <c r="J45">
        <v>2.8202000000000001E-2</v>
      </c>
      <c r="K45">
        <v>2.1623E-2</v>
      </c>
      <c r="M45">
        <v>60</v>
      </c>
      <c r="N45">
        <v>3.4460000000000003E-3</v>
      </c>
      <c r="O45">
        <v>2.8410000000000002E-3</v>
      </c>
    </row>
    <row r="46" spans="1:15">
      <c r="A46">
        <v>61</v>
      </c>
      <c r="B46">
        <v>1.2881999999999999E-2</v>
      </c>
      <c r="C46">
        <v>1.0758999999999999E-2</v>
      </c>
      <c r="E46">
        <v>61</v>
      </c>
      <c r="F46">
        <v>4.1010000000000005E-3</v>
      </c>
      <c r="G46">
        <v>4.1010000000000005E-3</v>
      </c>
      <c r="I46">
        <v>61</v>
      </c>
      <c r="J46">
        <v>3.0549E-2</v>
      </c>
      <c r="K46">
        <v>2.3111E-2</v>
      </c>
      <c r="M46">
        <v>61</v>
      </c>
      <c r="N46">
        <v>3.8040000000000001E-3</v>
      </c>
      <c r="O46">
        <v>3.1770000000000001E-3</v>
      </c>
    </row>
    <row r="47" spans="1:15">
      <c r="A47">
        <v>62</v>
      </c>
      <c r="B47">
        <v>1.4119999999999999E-2</v>
      </c>
      <c r="C47">
        <v>1.1927999999999999E-2</v>
      </c>
      <c r="E47">
        <v>62</v>
      </c>
      <c r="F47">
        <v>4.4169999999999999E-3</v>
      </c>
      <c r="G47">
        <v>4.4169999999999999E-3</v>
      </c>
      <c r="I47">
        <v>62</v>
      </c>
      <c r="J47">
        <v>3.3168000000000003E-2</v>
      </c>
      <c r="K47">
        <v>2.4745E-2</v>
      </c>
      <c r="M47">
        <v>62</v>
      </c>
      <c r="N47">
        <v>4.1700000000000001E-3</v>
      </c>
      <c r="O47">
        <v>3.5230000000000001E-3</v>
      </c>
    </row>
    <row r="48" spans="1:15">
      <c r="A48">
        <v>63</v>
      </c>
      <c r="B48">
        <v>1.5384999999999999E-2</v>
      </c>
      <c r="C48">
        <v>1.3144999999999999E-2</v>
      </c>
      <c r="E48">
        <v>63</v>
      </c>
      <c r="F48">
        <v>4.7320000000000001E-3</v>
      </c>
      <c r="G48">
        <v>4.7320000000000001E-3</v>
      </c>
      <c r="I48">
        <v>63</v>
      </c>
      <c r="J48">
        <v>3.5955000000000001E-2</v>
      </c>
      <c r="K48">
        <v>2.6442E-2</v>
      </c>
      <c r="M48">
        <v>63</v>
      </c>
      <c r="N48">
        <v>4.5440000000000003E-3</v>
      </c>
      <c r="O48">
        <v>3.882E-3</v>
      </c>
    </row>
    <row r="49" spans="1:15">
      <c r="A49">
        <v>64</v>
      </c>
      <c r="B49">
        <v>1.6549000000000001E-2</v>
      </c>
      <c r="C49">
        <v>1.4291E-2</v>
      </c>
      <c r="E49">
        <v>64</v>
      </c>
      <c r="F49">
        <v>5.3629999999999997E-3</v>
      </c>
      <c r="G49">
        <v>5.3629999999999997E-3</v>
      </c>
      <c r="I49">
        <v>64</v>
      </c>
      <c r="J49">
        <v>3.8887999999999999E-2</v>
      </c>
      <c r="K49">
        <v>2.8244000000000002E-2</v>
      </c>
      <c r="M49">
        <v>64</v>
      </c>
      <c r="N49">
        <v>4.8869999999999999E-3</v>
      </c>
      <c r="O49">
        <v>4.2209999999999999E-3</v>
      </c>
    </row>
    <row r="50" spans="1:15">
      <c r="A50">
        <v>65</v>
      </c>
      <c r="B50">
        <v>1.7684000000000002E-2</v>
      </c>
      <c r="C50">
        <v>1.5448999999999999E-2</v>
      </c>
      <c r="E50">
        <v>65</v>
      </c>
      <c r="F50">
        <v>5.6779999999999999E-3</v>
      </c>
      <c r="G50">
        <v>5.6779999999999999E-3</v>
      </c>
      <c r="I50">
        <v>65</v>
      </c>
      <c r="J50">
        <v>4.1967999999999998E-2</v>
      </c>
      <c r="K50">
        <v>3.0130000000000001E-2</v>
      </c>
      <c r="M50">
        <v>65</v>
      </c>
      <c r="N50">
        <v>5.2220000000000001E-3</v>
      </c>
      <c r="O50">
        <v>4.5630000000000002E-3</v>
      </c>
    </row>
    <row r="51" spans="1:15">
      <c r="A51">
        <v>66</v>
      </c>
      <c r="B51">
        <v>1.8759000000000001E-2</v>
      </c>
      <c r="C51">
        <v>1.6551E-2</v>
      </c>
      <c r="E51">
        <v>66</v>
      </c>
      <c r="F51">
        <v>5.9940000000000002E-3</v>
      </c>
      <c r="G51">
        <v>5.9940000000000002E-3</v>
      </c>
      <c r="I51">
        <v>66</v>
      </c>
      <c r="J51">
        <v>4.5236999999999999E-2</v>
      </c>
      <c r="K51">
        <v>3.2079000000000003E-2</v>
      </c>
      <c r="M51">
        <v>66</v>
      </c>
      <c r="N51">
        <v>5.5399999999999998E-3</v>
      </c>
      <c r="O51">
        <v>4.888E-3</v>
      </c>
    </row>
    <row r="52" spans="1:15">
      <c r="A52">
        <v>67</v>
      </c>
      <c r="B52">
        <v>1.9820000000000001E-2</v>
      </c>
      <c r="C52">
        <v>1.7668E-2</v>
      </c>
      <c r="E52">
        <v>67</v>
      </c>
      <c r="F52">
        <v>6.3090000000000004E-3</v>
      </c>
      <c r="G52">
        <v>6.3090000000000004E-3</v>
      </c>
      <c r="I52">
        <v>67</v>
      </c>
      <c r="J52">
        <v>4.8673000000000001E-2</v>
      </c>
      <c r="K52">
        <v>3.4132000000000003E-2</v>
      </c>
      <c r="M52">
        <v>67</v>
      </c>
      <c r="N52">
        <v>5.8530000000000006E-3</v>
      </c>
      <c r="O52">
        <v>5.2180000000000004E-3</v>
      </c>
    </row>
    <row r="53" spans="1:15">
      <c r="A53">
        <v>68</v>
      </c>
      <c r="B53">
        <v>2.1354000000000001E-2</v>
      </c>
      <c r="C53">
        <v>1.9236E-2</v>
      </c>
      <c r="E53">
        <v>68</v>
      </c>
      <c r="F53">
        <v>6.6240000000000005E-3</v>
      </c>
      <c r="G53">
        <v>6.6240000000000005E-3</v>
      </c>
      <c r="I53">
        <v>68</v>
      </c>
      <c r="J53">
        <v>5.2298000000000004E-2</v>
      </c>
      <c r="K53">
        <v>3.6290000000000003E-2</v>
      </c>
      <c r="M53">
        <v>68</v>
      </c>
      <c r="N53">
        <v>6.306E-3</v>
      </c>
      <c r="O53">
        <v>5.6810000000000003E-3</v>
      </c>
    </row>
    <row r="54" spans="1:15">
      <c r="A54">
        <v>69</v>
      </c>
      <c r="B54">
        <v>2.2644000000000001E-2</v>
      </c>
      <c r="C54">
        <v>2.0596E-2</v>
      </c>
      <c r="E54">
        <v>69</v>
      </c>
      <c r="F54">
        <v>7.2550000000000002E-3</v>
      </c>
      <c r="G54">
        <v>7.2550000000000002E-3</v>
      </c>
      <c r="I54">
        <v>69</v>
      </c>
      <c r="J54">
        <v>5.6090000000000001E-2</v>
      </c>
      <c r="K54">
        <v>3.8532000000000004E-2</v>
      </c>
      <c r="M54">
        <v>69</v>
      </c>
      <c r="N54">
        <v>6.6870000000000002E-3</v>
      </c>
      <c r="O54">
        <v>6.0819999999999997E-3</v>
      </c>
    </row>
    <row r="55" spans="1:15">
      <c r="A55">
        <v>70</v>
      </c>
      <c r="B55">
        <v>2.4131E-2</v>
      </c>
      <c r="C55">
        <v>2.2156000000000002E-2</v>
      </c>
      <c r="E55">
        <v>70</v>
      </c>
      <c r="F55">
        <v>7.5710000000000005E-3</v>
      </c>
      <c r="G55">
        <v>7.5710000000000005E-3</v>
      </c>
      <c r="I55">
        <v>70</v>
      </c>
      <c r="J55">
        <v>6.0070999999999999E-2</v>
      </c>
      <c r="K55">
        <v>4.0857999999999998E-2</v>
      </c>
      <c r="M55">
        <v>70</v>
      </c>
      <c r="N55">
        <v>7.1260000000000004E-3</v>
      </c>
      <c r="O55">
        <v>6.5430000000000002E-3</v>
      </c>
    </row>
    <row r="56" spans="1:15">
      <c r="A56">
        <v>71</v>
      </c>
      <c r="B56">
        <v>2.5985000000000001E-2</v>
      </c>
      <c r="C56">
        <v>2.4087000000000001E-2</v>
      </c>
    </row>
    <row r="57" spans="1:15">
      <c r="A57">
        <v>72</v>
      </c>
      <c r="B57">
        <v>2.8240000000000001E-2</v>
      </c>
      <c r="C57">
        <v>2.6406000000000002E-2</v>
      </c>
    </row>
    <row r="58" spans="1:15">
      <c r="A58">
        <v>73</v>
      </c>
      <c r="B58">
        <v>3.1272000000000001E-2</v>
      </c>
      <c r="C58">
        <v>2.9489000000000001E-2</v>
      </c>
    </row>
    <row r="59" spans="1:15">
      <c r="A59">
        <v>74</v>
      </c>
      <c r="B59">
        <v>3.5118000000000003E-2</v>
      </c>
      <c r="C59">
        <v>3.3422E-2</v>
      </c>
    </row>
    <row r="60" spans="1:15">
      <c r="A60">
        <v>75</v>
      </c>
      <c r="B60">
        <v>3.9947000000000003E-2</v>
      </c>
      <c r="C60">
        <v>3.8337000000000003E-2</v>
      </c>
    </row>
    <row r="61" spans="1:15">
      <c r="A61">
        <v>76</v>
      </c>
      <c r="B61">
        <v>4.5880000000000004E-2</v>
      </c>
      <c r="C61">
        <v>4.4407000000000002E-2</v>
      </c>
    </row>
    <row r="62" spans="1:15">
      <c r="A62">
        <v>77</v>
      </c>
      <c r="B62">
        <v>5.3088000000000003E-2</v>
      </c>
      <c r="C62">
        <v>5.1797000000000003E-2</v>
      </c>
    </row>
    <row r="63" spans="1:15">
      <c r="A63">
        <v>78</v>
      </c>
      <c r="B63">
        <v>6.1942000000000004E-2</v>
      </c>
      <c r="C63">
        <v>6.0951999999999999E-2</v>
      </c>
    </row>
    <row r="64" spans="1:15">
      <c r="A64">
        <v>79</v>
      </c>
      <c r="B64">
        <v>7.3901999999999995E-2</v>
      </c>
      <c r="C64">
        <v>7.3322999999999999E-2</v>
      </c>
    </row>
    <row r="65" spans="1:3">
      <c r="A65">
        <v>80</v>
      </c>
      <c r="B65">
        <v>8.9599999999999999E-2</v>
      </c>
      <c r="C65">
        <v>8.9584999999999998E-2</v>
      </c>
    </row>
  </sheetData>
  <mergeCells count="4">
    <mergeCell ref="B1:C1"/>
    <mergeCell ref="F1:G1"/>
    <mergeCell ref="J1:K1"/>
    <mergeCell ref="N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Inicio</vt:lpstr>
      <vt:lpstr>Cotizador</vt:lpstr>
      <vt:lpstr>Primas</vt:lpstr>
      <vt:lpstr>Cotizador!Área_de_impresión</vt:lpstr>
    </vt:vector>
  </TitlesOfParts>
  <Company>COLSEGUROS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JAIMEJ00</dc:creator>
  <cp:lastModifiedBy>Margarita Hernández</cp:lastModifiedBy>
  <cp:lastPrinted>2016-08-04T00:35:31Z</cp:lastPrinted>
  <dcterms:created xsi:type="dcterms:W3CDTF">2008-02-01T13:17:38Z</dcterms:created>
  <dcterms:modified xsi:type="dcterms:W3CDTF">2018-07-12T19:28:38Z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tadata">
    <vt:lpwstr>b7988hualzfd</vt:lpwstr>
  </property>
  <property fmtid="{D5CDD505-2E9C-101B-9397-08002B2CF9AE}" pid="3" name="OfficeDocumentSecurity_01072015185311">
    <vt:lpwstr>01072015185311;CE00099;0</vt:lpwstr>
  </property>
  <property fmtid="{D5CDD505-2E9C-101B-9397-08002B2CF9AE}" pid="4" name="OfficeDocumentSecurity_01072015185731">
    <vt:lpwstr>01072015185731;CE00099;0</vt:lpwstr>
  </property>
</Properties>
</file>